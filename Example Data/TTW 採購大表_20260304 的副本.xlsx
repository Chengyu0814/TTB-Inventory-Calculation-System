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C8BC5BDB-EFCA-48BB-97CD-B09C21A8A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TW" sheetId="1" r:id="rId1"/>
    <sheet name="TTW-僅採購項目" sheetId="4" state="hidden" r:id="rId2"/>
  </sheets>
  <definedNames>
    <definedName name="_xlnm._FilterDatabase" localSheetId="0" hidden="1">TTW!$A$3:$AO$200</definedName>
    <definedName name="Z_3316CB4D_30B4_4B30_8B85_16B9D80CAB67_.wvu.FilterData" localSheetId="0" hidden="1">TTW!$A$3:$AK$200</definedName>
    <definedName name="Z_3316CB4D_30B4_4B30_8B85_16B9D80CAB67_.wvu.FilterData" localSheetId="1" hidden="1">'TTW-僅採購項目'!$A$3:$AK$200</definedName>
    <definedName name="Z_3DB84794_49D6_4591_9845_EA1A309199E5_.wvu.FilterData" localSheetId="0" hidden="1">TTW!$A$3:$AK$200</definedName>
    <definedName name="Z_3DB84794_49D6_4591_9845_EA1A309199E5_.wvu.FilterData" localSheetId="1" hidden="1">'TTW-僅採購項目'!$A$3:$AK$200</definedName>
    <definedName name="Z_588A9B9D_63D4_480D_9DB7_254FA2C3E016_.wvu.FilterData" localSheetId="0" hidden="1">TTW!$A$3:$AK$200</definedName>
    <definedName name="Z_588A9B9D_63D4_480D_9DB7_254FA2C3E016_.wvu.FilterData" localSheetId="1" hidden="1">'TTW-僅採購項目'!$A$3:$AK$200</definedName>
    <definedName name="Z_5E0525A9_7AE6_4B00_BDC9_4648C2BCC1F8_.wvu.FilterData" localSheetId="0" hidden="1">TTW!$A$3:$AK$200</definedName>
    <definedName name="Z_5E0525A9_7AE6_4B00_BDC9_4648C2BCC1F8_.wvu.FilterData" localSheetId="1" hidden="1">'TTW-僅採購項目'!$A$3:$AK$200</definedName>
    <definedName name="Z_714E6E93_4116_47F0_BD54_4578503BFB55_.wvu.FilterData" localSheetId="0" hidden="1">TTW!$A$3:$AK$200</definedName>
    <definedName name="Z_714E6E93_4116_47F0_BD54_4578503BFB55_.wvu.FilterData" localSheetId="1" hidden="1">'TTW-僅採購項目'!$A$3:$AK$200</definedName>
    <definedName name="Z_EEC4170B_C5FE_4276_8AC2_A74F6334539C_.wvu.FilterData" localSheetId="0" hidden="1">TTW!$A$3:$AK$200</definedName>
    <definedName name="Z_EEC4170B_C5FE_4276_8AC2_A74F6334539C_.wvu.FilterData" localSheetId="1" hidden="1">'TTW-僅採購項目'!$A$3:$AK$200</definedName>
  </definedNames>
  <calcPr calcId="191029"/>
  <customWorkbookViews>
    <customWorkbookView name="篩選器 2" guid="{EEC4170B-C5FE-4276-8AC2-A74F6334539C}" maximized="1" windowWidth="0" windowHeight="0" activeSheetId="0"/>
    <customWorkbookView name="篩選器 1" guid="{3DB84794-49D6-4591-9845-EA1A309199E5}" maximized="1" windowWidth="0" windowHeight="0" activeSheetId="0"/>
    <customWorkbookView name="篩選器 4" guid="{588A9B9D-63D4-480D-9DB7-254FA2C3E016}" maximized="1" windowWidth="0" windowHeight="0" activeSheetId="0"/>
    <customWorkbookView name="篩選器 3" guid="{714E6E93-4116-47F0-BD54-4578503BFB55}" maximized="1" windowWidth="0" windowHeight="0" activeSheetId="0"/>
    <customWorkbookView name="篩選器 6" guid="{3316CB4D-30B4-4B30-8B85-16B9D80CAB67}" maximized="1" windowWidth="0" windowHeight="0" activeSheetId="0"/>
    <customWorkbookView name="篩選器 5" guid="{5E0525A9-7AE6-4B00-BDC9-4648C2BCC1F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00" i="4" l="1"/>
  <c r="AJ200" i="4" s="1"/>
  <c r="AK200" i="4" s="1"/>
  <c r="AF200" i="4"/>
  <c r="AD200" i="4"/>
  <c r="AC200" i="4"/>
  <c r="AB200" i="4"/>
  <c r="AA200" i="4"/>
  <c r="Z200" i="4"/>
  <c r="Q200" i="4"/>
  <c r="AJ199" i="4"/>
  <c r="AK199" i="4" s="1"/>
  <c r="AF199" i="4"/>
  <c r="AD199" i="4"/>
  <c r="AI199" i="4" s="1"/>
  <c r="AC199" i="4"/>
  <c r="AB199" i="4"/>
  <c r="AA199" i="4"/>
  <c r="Z199" i="4"/>
  <c r="Q199" i="4"/>
  <c r="AJ198" i="4"/>
  <c r="AI198" i="4"/>
  <c r="AF198" i="4"/>
  <c r="AD198" i="4"/>
  <c r="AC198" i="4"/>
  <c r="AB198" i="4"/>
  <c r="AA198" i="4"/>
  <c r="Z198" i="4"/>
  <c r="Q198" i="4"/>
  <c r="AK197" i="4"/>
  <c r="AJ197" i="4"/>
  <c r="AF197" i="4"/>
  <c r="AD197" i="4"/>
  <c r="AC197" i="4"/>
  <c r="AB197" i="4"/>
  <c r="AA197" i="4"/>
  <c r="Z197" i="4"/>
  <c r="Q197" i="4"/>
  <c r="AJ196" i="4"/>
  <c r="AK196" i="4" s="1"/>
  <c r="AI196" i="4"/>
  <c r="AF196" i="4"/>
  <c r="AD196" i="4"/>
  <c r="AC196" i="4"/>
  <c r="AB196" i="4"/>
  <c r="AA196" i="4"/>
  <c r="Z196" i="4"/>
  <c r="Q196" i="4"/>
  <c r="AJ195" i="4"/>
  <c r="AF195" i="4"/>
  <c r="AD195" i="4"/>
  <c r="AI195" i="4" s="1"/>
  <c r="AC195" i="4"/>
  <c r="AB195" i="4"/>
  <c r="AA195" i="4"/>
  <c r="Z195" i="4"/>
  <c r="Q195" i="4"/>
  <c r="AK195" i="4" s="1"/>
  <c r="AJ194" i="4"/>
  <c r="AF194" i="4"/>
  <c r="AD194" i="4"/>
  <c r="AI194" i="4" s="1"/>
  <c r="AC194" i="4"/>
  <c r="AB194" i="4"/>
  <c r="AA194" i="4"/>
  <c r="Z194" i="4"/>
  <c r="Q194" i="4"/>
  <c r="AK194" i="4" s="1"/>
  <c r="AK193" i="4"/>
  <c r="AJ193" i="4"/>
  <c r="AF193" i="4"/>
  <c r="AD193" i="4"/>
  <c r="AI193" i="4" s="1"/>
  <c r="AC193" i="4"/>
  <c r="AB193" i="4"/>
  <c r="AA193" i="4"/>
  <c r="Z193" i="4"/>
  <c r="Q193" i="4"/>
  <c r="AF192" i="4"/>
  <c r="AI192" i="4" s="1"/>
  <c r="AJ192" i="4" s="1"/>
  <c r="AK192" i="4" s="1"/>
  <c r="AD192" i="4"/>
  <c r="AC192" i="4"/>
  <c r="AB192" i="4"/>
  <c r="AA192" i="4"/>
  <c r="Z192" i="4"/>
  <c r="Q192" i="4"/>
  <c r="AF191" i="4"/>
  <c r="AD191" i="4"/>
  <c r="AC191" i="4"/>
  <c r="AB191" i="4"/>
  <c r="AA191" i="4"/>
  <c r="Z191" i="4"/>
  <c r="Q191" i="4"/>
  <c r="AK190" i="4"/>
  <c r="AI190" i="4"/>
  <c r="AJ190" i="4" s="1"/>
  <c r="AF190" i="4"/>
  <c r="AD190" i="4"/>
  <c r="AC190" i="4"/>
  <c r="AB190" i="4"/>
  <c r="AA190" i="4"/>
  <c r="Z190" i="4"/>
  <c r="Q190" i="4"/>
  <c r="AJ189" i="4"/>
  <c r="AK189" i="4" s="1"/>
  <c r="AI189" i="4"/>
  <c r="AF189" i="4"/>
  <c r="AD189" i="4"/>
  <c r="AC189" i="4"/>
  <c r="AB189" i="4"/>
  <c r="AA189" i="4"/>
  <c r="Z189" i="4"/>
  <c r="Q189" i="4"/>
  <c r="AJ188" i="4"/>
  <c r="AF188" i="4"/>
  <c r="AD188" i="4"/>
  <c r="AI188" i="4" s="1"/>
  <c r="AC188" i="4"/>
  <c r="AB188" i="4"/>
  <c r="AA188" i="4"/>
  <c r="Z188" i="4"/>
  <c r="Q188" i="4"/>
  <c r="AK188" i="4" s="1"/>
  <c r="AK187" i="4"/>
  <c r="AJ187" i="4"/>
  <c r="AF187" i="4"/>
  <c r="AD187" i="4"/>
  <c r="AI187" i="4" s="1"/>
  <c r="AC187" i="4"/>
  <c r="AB187" i="4"/>
  <c r="AA187" i="4"/>
  <c r="Z187" i="4"/>
  <c r="Q187" i="4"/>
  <c r="AF186" i="4"/>
  <c r="AI186" i="4" s="1"/>
  <c r="AJ186" i="4" s="1"/>
  <c r="AK186" i="4" s="1"/>
  <c r="AD186" i="4"/>
  <c r="AC186" i="4"/>
  <c r="AB186" i="4"/>
  <c r="AA186" i="4"/>
  <c r="Z186" i="4"/>
  <c r="Q186" i="4"/>
  <c r="AF185" i="4"/>
  <c r="AD185" i="4"/>
  <c r="AI185" i="4" s="1"/>
  <c r="AJ185" i="4" s="1"/>
  <c r="AC185" i="4"/>
  <c r="AB185" i="4"/>
  <c r="AA185" i="4"/>
  <c r="Z185" i="4"/>
  <c r="Q185" i="4"/>
  <c r="AK185" i="4" s="1"/>
  <c r="AK184" i="4"/>
  <c r="AJ184" i="4"/>
  <c r="AI184" i="4"/>
  <c r="AF184" i="4"/>
  <c r="AD184" i="4"/>
  <c r="AC184" i="4"/>
  <c r="AB184" i="4"/>
  <c r="AA184" i="4"/>
  <c r="Z184" i="4"/>
  <c r="Q184" i="4"/>
  <c r="AK183" i="4"/>
  <c r="AJ183" i="4"/>
  <c r="AI183" i="4"/>
  <c r="AF183" i="4"/>
  <c r="AD183" i="4"/>
  <c r="AC183" i="4"/>
  <c r="AB183" i="4"/>
  <c r="AA183" i="4"/>
  <c r="Z183" i="4"/>
  <c r="Q183" i="4"/>
  <c r="AF182" i="4"/>
  <c r="AD182" i="4"/>
  <c r="AC182" i="4"/>
  <c r="AB182" i="4"/>
  <c r="AA182" i="4"/>
  <c r="Z182" i="4"/>
  <c r="Q182" i="4"/>
  <c r="AI181" i="4"/>
  <c r="AJ181" i="4" s="1"/>
  <c r="AF181" i="4"/>
  <c r="AD181" i="4"/>
  <c r="AC181" i="4"/>
  <c r="AB181" i="4"/>
  <c r="AA181" i="4"/>
  <c r="Z181" i="4"/>
  <c r="Q181" i="4"/>
  <c r="AK180" i="4"/>
  <c r="AF180" i="4"/>
  <c r="AD180" i="4"/>
  <c r="AI180" i="4" s="1"/>
  <c r="AJ180" i="4" s="1"/>
  <c r="AC180" i="4"/>
  <c r="AB180" i="4"/>
  <c r="AA180" i="4"/>
  <c r="Z180" i="4"/>
  <c r="Q180" i="4"/>
  <c r="AI179" i="4"/>
  <c r="AJ179" i="4" s="1"/>
  <c r="AK179" i="4" s="1"/>
  <c r="AF179" i="4"/>
  <c r="AD179" i="4"/>
  <c r="AC179" i="4"/>
  <c r="AB179" i="4"/>
  <c r="AA179" i="4"/>
  <c r="Z179" i="4"/>
  <c r="Q179" i="4"/>
  <c r="AF178" i="4"/>
  <c r="AD178" i="4"/>
  <c r="AI178" i="4" s="1"/>
  <c r="AC178" i="4"/>
  <c r="AB178" i="4"/>
  <c r="AA178" i="4"/>
  <c r="Z178" i="4"/>
  <c r="Q178" i="4"/>
  <c r="AK178" i="4" s="1"/>
  <c r="AF177" i="4"/>
  <c r="AD177" i="4"/>
  <c r="AC177" i="4"/>
  <c r="AB177" i="4"/>
  <c r="AA177" i="4"/>
  <c r="Z177" i="4"/>
  <c r="Q177" i="4"/>
  <c r="AK177" i="4" s="1"/>
  <c r="AK176" i="4"/>
  <c r="AI176" i="4"/>
  <c r="AJ176" i="4" s="1"/>
  <c r="AF176" i="4"/>
  <c r="AD176" i="4"/>
  <c r="AC176" i="4"/>
  <c r="AB176" i="4"/>
  <c r="AA176" i="4"/>
  <c r="Z176" i="4"/>
  <c r="Q176" i="4"/>
  <c r="AI175" i="4"/>
  <c r="AJ175" i="4" s="1"/>
  <c r="AF175" i="4"/>
  <c r="AD175" i="4"/>
  <c r="AC175" i="4"/>
  <c r="AB175" i="4"/>
  <c r="AA175" i="4"/>
  <c r="Z175" i="4"/>
  <c r="Q175" i="4"/>
  <c r="AH174" i="4"/>
  <c r="AF174" i="4"/>
  <c r="AI174" i="4" s="1"/>
  <c r="AJ174" i="4" s="1"/>
  <c r="AD174" i="4"/>
  <c r="AC174" i="4"/>
  <c r="AB174" i="4"/>
  <c r="AA174" i="4"/>
  <c r="Z174" i="4"/>
  <c r="Q174" i="4"/>
  <c r="AK174" i="4" s="1"/>
  <c r="AK173" i="4"/>
  <c r="AJ173" i="4"/>
  <c r="AH173" i="4"/>
  <c r="AF173" i="4"/>
  <c r="AD173" i="4"/>
  <c r="AI173" i="4" s="1"/>
  <c r="AC173" i="4"/>
  <c r="AB173" i="4"/>
  <c r="AA173" i="4"/>
  <c r="Z173" i="4"/>
  <c r="Q173" i="4"/>
  <c r="AK172" i="4"/>
  <c r="AJ172" i="4"/>
  <c r="AI172" i="4"/>
  <c r="AF172" i="4"/>
  <c r="AD172" i="4"/>
  <c r="AC172" i="4"/>
  <c r="AB172" i="4"/>
  <c r="AA172" i="4"/>
  <c r="Z172" i="4"/>
  <c r="Q172" i="4"/>
  <c r="AF171" i="4"/>
  <c r="AD171" i="4"/>
  <c r="AI171" i="4" s="1"/>
  <c r="AJ171" i="4" s="1"/>
  <c r="AK171" i="4" s="1"/>
  <c r="AC171" i="4"/>
  <c r="AB171" i="4"/>
  <c r="AA171" i="4"/>
  <c r="Z171" i="4"/>
  <c r="Q171" i="4"/>
  <c r="AF170" i="4"/>
  <c r="AD170" i="4"/>
  <c r="AI170" i="4" s="1"/>
  <c r="AJ170" i="4" s="1"/>
  <c r="AC170" i="4"/>
  <c r="AB170" i="4"/>
  <c r="AA170" i="4"/>
  <c r="Z170" i="4"/>
  <c r="Q170" i="4"/>
  <c r="AK169" i="4"/>
  <c r="AI169" i="4"/>
  <c r="AJ169" i="4" s="1"/>
  <c r="AF169" i="4"/>
  <c r="AD169" i="4"/>
  <c r="AC169" i="4"/>
  <c r="AB169" i="4"/>
  <c r="AA169" i="4"/>
  <c r="Z169" i="4"/>
  <c r="Q169" i="4"/>
  <c r="AI168" i="4"/>
  <c r="AJ168" i="4" s="1"/>
  <c r="AK168" i="4" s="1"/>
  <c r="AF168" i="4"/>
  <c r="AD168" i="4"/>
  <c r="AC168" i="4"/>
  <c r="AB168" i="4"/>
  <c r="AA168" i="4"/>
  <c r="Z168" i="4"/>
  <c r="Q168" i="4"/>
  <c r="AF167" i="4"/>
  <c r="AD167" i="4"/>
  <c r="AC167" i="4"/>
  <c r="AB167" i="4"/>
  <c r="AA167" i="4"/>
  <c r="Z167" i="4"/>
  <c r="Q167" i="4"/>
  <c r="AF166" i="4"/>
  <c r="AD166" i="4"/>
  <c r="AI166" i="4" s="1"/>
  <c r="AJ166" i="4" s="1"/>
  <c r="AK166" i="4" s="1"/>
  <c r="AC166" i="4"/>
  <c r="AB166" i="4"/>
  <c r="AA166" i="4"/>
  <c r="Z166" i="4"/>
  <c r="Q166" i="4"/>
  <c r="AF165" i="4"/>
  <c r="AD165" i="4"/>
  <c r="AC165" i="4"/>
  <c r="AB165" i="4"/>
  <c r="AA165" i="4"/>
  <c r="Z165" i="4"/>
  <c r="Q165" i="4"/>
  <c r="AK164" i="4"/>
  <c r="AI164" i="4"/>
  <c r="AJ164" i="4" s="1"/>
  <c r="AF164" i="4"/>
  <c r="AD164" i="4"/>
  <c r="AC164" i="4"/>
  <c r="AB164" i="4"/>
  <c r="AA164" i="4"/>
  <c r="Z164" i="4"/>
  <c r="Q164" i="4"/>
  <c r="AI163" i="4"/>
  <c r="AJ163" i="4" s="1"/>
  <c r="AK163" i="4" s="1"/>
  <c r="AF163" i="4"/>
  <c r="AD163" i="4"/>
  <c r="AC163" i="4"/>
  <c r="AB163" i="4"/>
  <c r="AA163" i="4"/>
  <c r="Z163" i="4"/>
  <c r="Q163" i="4"/>
  <c r="AF162" i="4"/>
  <c r="AD162" i="4"/>
  <c r="AI162" i="4" s="1"/>
  <c r="AJ162" i="4" s="1"/>
  <c r="AK162" i="4" s="1"/>
  <c r="AC162" i="4"/>
  <c r="AB162" i="4"/>
  <c r="AA162" i="4"/>
  <c r="Z162" i="4"/>
  <c r="Q162" i="4"/>
  <c r="AF161" i="4"/>
  <c r="AD161" i="4"/>
  <c r="AI161" i="4" s="1"/>
  <c r="AJ161" i="4" s="1"/>
  <c r="AK161" i="4" s="1"/>
  <c r="AC161" i="4"/>
  <c r="AB161" i="4"/>
  <c r="AA161" i="4"/>
  <c r="Z161" i="4"/>
  <c r="Q161" i="4"/>
  <c r="AJ160" i="4"/>
  <c r="AK160" i="4" s="1"/>
  <c r="AF160" i="4"/>
  <c r="AD160" i="4"/>
  <c r="AC160" i="4"/>
  <c r="AB160" i="4"/>
  <c r="AA160" i="4"/>
  <c r="Z160" i="4"/>
  <c r="Q160" i="4"/>
  <c r="AK159" i="4"/>
  <c r="AJ159" i="4"/>
  <c r="AF159" i="4"/>
  <c r="AD159" i="4"/>
  <c r="AI159" i="4" s="1"/>
  <c r="AC159" i="4"/>
  <c r="AB159" i="4"/>
  <c r="AA159" i="4"/>
  <c r="Z159" i="4"/>
  <c r="Q159" i="4"/>
  <c r="AI158" i="4"/>
  <c r="AJ158" i="4" s="1"/>
  <c r="AF158" i="4"/>
  <c r="AD158" i="4"/>
  <c r="AC158" i="4"/>
  <c r="AB158" i="4"/>
  <c r="AA158" i="4"/>
  <c r="Z158" i="4"/>
  <c r="Q158" i="4"/>
  <c r="AF157" i="4"/>
  <c r="AD157" i="4"/>
  <c r="AI157" i="4" s="1"/>
  <c r="AJ157" i="4" s="1"/>
  <c r="AK157" i="4" s="1"/>
  <c r="AC157" i="4"/>
  <c r="AB157" i="4"/>
  <c r="AA157" i="4"/>
  <c r="Z157" i="4"/>
  <c r="Q157" i="4"/>
  <c r="AI156" i="4"/>
  <c r="AJ156" i="4" s="1"/>
  <c r="AK156" i="4" s="1"/>
  <c r="AF156" i="4"/>
  <c r="AD156" i="4"/>
  <c r="AC156" i="4"/>
  <c r="AB156" i="4"/>
  <c r="AA156" i="4"/>
  <c r="Z156" i="4"/>
  <c r="Q156" i="4"/>
  <c r="AJ155" i="4"/>
  <c r="AK155" i="4" s="1"/>
  <c r="AF155" i="4"/>
  <c r="AD155" i="4"/>
  <c r="AI155" i="4" s="1"/>
  <c r="AC155" i="4"/>
  <c r="AB155" i="4"/>
  <c r="AA155" i="4"/>
  <c r="Z155" i="4"/>
  <c r="Q155" i="4"/>
  <c r="AK154" i="4"/>
  <c r="AJ154" i="4"/>
  <c r="AF154" i="4"/>
  <c r="AD154" i="4"/>
  <c r="AC154" i="4"/>
  <c r="AB154" i="4"/>
  <c r="AA154" i="4"/>
  <c r="Z154" i="4"/>
  <c r="Q154" i="4"/>
  <c r="AK153" i="4"/>
  <c r="AJ153" i="4"/>
  <c r="AI153" i="4"/>
  <c r="AF153" i="4"/>
  <c r="AD153" i="4"/>
  <c r="AC153" i="4"/>
  <c r="AB153" i="4"/>
  <c r="AA153" i="4"/>
  <c r="Z153" i="4"/>
  <c r="Q153" i="4"/>
  <c r="AI152" i="4"/>
  <c r="AJ152" i="4" s="1"/>
  <c r="AK152" i="4" s="1"/>
  <c r="AF152" i="4"/>
  <c r="AD152" i="4"/>
  <c r="AC152" i="4"/>
  <c r="AB152" i="4"/>
  <c r="AA152" i="4"/>
  <c r="Z152" i="4"/>
  <c r="Q152" i="4"/>
  <c r="AF151" i="4"/>
  <c r="AD151" i="4"/>
  <c r="AI151" i="4" s="1"/>
  <c r="AJ151" i="4" s="1"/>
  <c r="AK151" i="4" s="1"/>
  <c r="AC151" i="4"/>
  <c r="AB151" i="4"/>
  <c r="AA151" i="4"/>
  <c r="Z151" i="4"/>
  <c r="Q151" i="4"/>
  <c r="AF150" i="4"/>
  <c r="AI150" i="4" s="1"/>
  <c r="AJ150" i="4" s="1"/>
  <c r="AD150" i="4"/>
  <c r="AC150" i="4"/>
  <c r="AB150" i="4"/>
  <c r="AA150" i="4"/>
  <c r="Z150" i="4"/>
  <c r="Q150" i="4"/>
  <c r="AF149" i="4"/>
  <c r="AD149" i="4"/>
  <c r="AC149" i="4"/>
  <c r="AB149" i="4"/>
  <c r="AA149" i="4"/>
  <c r="Z149" i="4"/>
  <c r="Q149" i="4"/>
  <c r="AF148" i="4"/>
  <c r="AD148" i="4"/>
  <c r="AC148" i="4"/>
  <c r="AB148" i="4"/>
  <c r="AA148" i="4"/>
  <c r="Z148" i="4"/>
  <c r="Q148" i="4"/>
  <c r="AK147" i="4"/>
  <c r="AJ147" i="4"/>
  <c r="AI147" i="4"/>
  <c r="AF147" i="4"/>
  <c r="AD147" i="4"/>
  <c r="AC147" i="4"/>
  <c r="AB147" i="4"/>
  <c r="AA147" i="4"/>
  <c r="Z147" i="4"/>
  <c r="Q147" i="4"/>
  <c r="K147" i="4"/>
  <c r="AJ146" i="4"/>
  <c r="AK146" i="4" s="1"/>
  <c r="AI146" i="4"/>
  <c r="AF146" i="4"/>
  <c r="AD146" i="4"/>
  <c r="AC146" i="4"/>
  <c r="AB146" i="4"/>
  <c r="AA146" i="4"/>
  <c r="Z146" i="4"/>
  <c r="Q146" i="4"/>
  <c r="AF145" i="4"/>
  <c r="AD145" i="4"/>
  <c r="AC145" i="4"/>
  <c r="AB145" i="4"/>
  <c r="AA145" i="4"/>
  <c r="Z145" i="4"/>
  <c r="Q145" i="4"/>
  <c r="AK144" i="4"/>
  <c r="AJ144" i="4"/>
  <c r="AF144" i="4"/>
  <c r="AI144" i="4" s="1"/>
  <c r="AD144" i="4"/>
  <c r="AC144" i="4"/>
  <c r="AB144" i="4"/>
  <c r="AA144" i="4"/>
  <c r="Z144" i="4"/>
  <c r="Q144" i="4"/>
  <c r="AF143" i="4"/>
  <c r="AD143" i="4"/>
  <c r="AI143" i="4" s="1"/>
  <c r="AJ143" i="4" s="1"/>
  <c r="AC143" i="4"/>
  <c r="AB143" i="4"/>
  <c r="AA143" i="4"/>
  <c r="Z143" i="4"/>
  <c r="Q143" i="4"/>
  <c r="AK142" i="4"/>
  <c r="AJ142" i="4"/>
  <c r="AI142" i="4"/>
  <c r="AF142" i="4"/>
  <c r="AD142" i="4"/>
  <c r="AC142" i="4"/>
  <c r="AB142" i="4"/>
  <c r="AA142" i="4"/>
  <c r="Z142" i="4"/>
  <c r="Q142" i="4"/>
  <c r="AI141" i="4"/>
  <c r="AJ141" i="4" s="1"/>
  <c r="AK141" i="4" s="1"/>
  <c r="AF141" i="4"/>
  <c r="AD141" i="4"/>
  <c r="AC141" i="4"/>
  <c r="AB141" i="4"/>
  <c r="AA141" i="4"/>
  <c r="Z141" i="4"/>
  <c r="Q141" i="4"/>
  <c r="AJ140" i="4"/>
  <c r="AK140" i="4" s="1"/>
  <c r="AF140" i="4"/>
  <c r="AD140" i="4"/>
  <c r="AI140" i="4" s="1"/>
  <c r="AC140" i="4"/>
  <c r="AB140" i="4"/>
  <c r="AA140" i="4"/>
  <c r="Z140" i="4"/>
  <c r="Q140" i="4"/>
  <c r="AF139" i="4"/>
  <c r="AD139" i="4"/>
  <c r="AI139" i="4" s="1"/>
  <c r="AJ139" i="4" s="1"/>
  <c r="AK139" i="4" s="1"/>
  <c r="AC139" i="4"/>
  <c r="AB139" i="4"/>
  <c r="AA139" i="4"/>
  <c r="Z139" i="4"/>
  <c r="Q139" i="4"/>
  <c r="AI138" i="4"/>
  <c r="AJ138" i="4" s="1"/>
  <c r="AK138" i="4" s="1"/>
  <c r="AF138" i="4"/>
  <c r="AD138" i="4"/>
  <c r="AC138" i="4"/>
  <c r="AB138" i="4"/>
  <c r="AA138" i="4"/>
  <c r="Z138" i="4"/>
  <c r="Q138" i="4"/>
  <c r="AF137" i="4"/>
  <c r="AD137" i="4"/>
  <c r="AI137" i="4" s="1"/>
  <c r="AJ137" i="4" s="1"/>
  <c r="AK137" i="4" s="1"/>
  <c r="AC137" i="4"/>
  <c r="AB137" i="4"/>
  <c r="AA137" i="4"/>
  <c r="Z137" i="4"/>
  <c r="Q137" i="4"/>
  <c r="AJ136" i="4"/>
  <c r="AK136" i="4" s="1"/>
  <c r="AI136" i="4"/>
  <c r="AF136" i="4"/>
  <c r="AD136" i="4"/>
  <c r="AC136" i="4"/>
  <c r="AB136" i="4"/>
  <c r="AA136" i="4"/>
  <c r="Z136" i="4"/>
  <c r="Q136" i="4"/>
  <c r="AF135" i="4"/>
  <c r="AD135" i="4"/>
  <c r="AC135" i="4"/>
  <c r="AB135" i="4"/>
  <c r="AA135" i="4"/>
  <c r="Z135" i="4"/>
  <c r="Q135" i="4"/>
  <c r="AI134" i="4"/>
  <c r="AJ134" i="4" s="1"/>
  <c r="AK134" i="4" s="1"/>
  <c r="AF134" i="4"/>
  <c r="AD134" i="4"/>
  <c r="AC134" i="4"/>
  <c r="AB134" i="4"/>
  <c r="AA134" i="4"/>
  <c r="Z134" i="4"/>
  <c r="Q134" i="4"/>
  <c r="AF133" i="4"/>
  <c r="AD133" i="4"/>
  <c r="AC133" i="4"/>
  <c r="AB133" i="4"/>
  <c r="AA133" i="4"/>
  <c r="Z133" i="4"/>
  <c r="Q133" i="4"/>
  <c r="AK132" i="4"/>
  <c r="AJ132" i="4"/>
  <c r="AI132" i="4"/>
  <c r="AF132" i="4"/>
  <c r="AD132" i="4"/>
  <c r="AC132" i="4"/>
  <c r="AB132" i="4"/>
  <c r="AA132" i="4"/>
  <c r="Z132" i="4"/>
  <c r="Q132" i="4"/>
  <c r="AJ131" i="4"/>
  <c r="AI131" i="4"/>
  <c r="AF131" i="4"/>
  <c r="AD131" i="4"/>
  <c r="AC131" i="4"/>
  <c r="AB131" i="4"/>
  <c r="AA131" i="4"/>
  <c r="Z131" i="4"/>
  <c r="Q131" i="4"/>
  <c r="AK131" i="4" s="1"/>
  <c r="AJ130" i="4"/>
  <c r="AF130" i="4"/>
  <c r="AD130" i="4"/>
  <c r="AI130" i="4" s="1"/>
  <c r="AC130" i="4"/>
  <c r="AB130" i="4"/>
  <c r="AA130" i="4"/>
  <c r="Z130" i="4"/>
  <c r="Q130" i="4"/>
  <c r="AK130" i="4" s="1"/>
  <c r="AK129" i="4"/>
  <c r="AJ129" i="4"/>
  <c r="AI129" i="4"/>
  <c r="AF129" i="4"/>
  <c r="AD129" i="4"/>
  <c r="AC129" i="4"/>
  <c r="AB129" i="4"/>
  <c r="AA129" i="4"/>
  <c r="Z129" i="4"/>
  <c r="Q129" i="4"/>
  <c r="AJ128" i="4"/>
  <c r="AK128" i="4" s="1"/>
  <c r="AI128" i="4"/>
  <c r="AF128" i="4"/>
  <c r="AD128" i="4"/>
  <c r="AC128" i="4"/>
  <c r="AB128" i="4"/>
  <c r="AA128" i="4"/>
  <c r="Z128" i="4"/>
  <c r="Q128" i="4"/>
  <c r="AK127" i="4"/>
  <c r="AJ127" i="4"/>
  <c r="AF127" i="4"/>
  <c r="AD127" i="4"/>
  <c r="AI127" i="4" s="1"/>
  <c r="AC127" i="4"/>
  <c r="AB127" i="4"/>
  <c r="AA127" i="4"/>
  <c r="Z127" i="4"/>
  <c r="Q127" i="4"/>
  <c r="AF126" i="4"/>
  <c r="AI126" i="4" s="1"/>
  <c r="AJ126" i="4" s="1"/>
  <c r="AD126" i="4"/>
  <c r="AC126" i="4"/>
  <c r="AB126" i="4"/>
  <c r="AA126" i="4"/>
  <c r="Z126" i="4"/>
  <c r="Q126" i="4"/>
  <c r="AK125" i="4"/>
  <c r="AJ125" i="4"/>
  <c r="AF125" i="4"/>
  <c r="AD125" i="4"/>
  <c r="AI125" i="4" s="1"/>
  <c r="AC125" i="4"/>
  <c r="AB125" i="4"/>
  <c r="AA125" i="4"/>
  <c r="Z125" i="4"/>
  <c r="Q125" i="4"/>
  <c r="AK124" i="4"/>
  <c r="AJ124" i="4"/>
  <c r="AI124" i="4"/>
  <c r="AF124" i="4"/>
  <c r="AD124" i="4"/>
  <c r="AC124" i="4"/>
  <c r="AB124" i="4"/>
  <c r="AA124" i="4"/>
  <c r="Z124" i="4"/>
  <c r="Q124" i="4"/>
  <c r="AF123" i="4"/>
  <c r="AD123" i="4"/>
  <c r="AI123" i="4" s="1"/>
  <c r="AJ123" i="4" s="1"/>
  <c r="AC123" i="4"/>
  <c r="AB123" i="4"/>
  <c r="AA123" i="4"/>
  <c r="Z123" i="4"/>
  <c r="Q123" i="4"/>
  <c r="AK123" i="4" s="1"/>
  <c r="AJ122" i="4"/>
  <c r="AK122" i="4" s="1"/>
  <c r="AF122" i="4"/>
  <c r="AD122" i="4"/>
  <c r="AC122" i="4"/>
  <c r="AB122" i="4"/>
  <c r="AA122" i="4"/>
  <c r="Z122" i="4"/>
  <c r="Q122" i="4"/>
  <c r="AJ121" i="4"/>
  <c r="AF121" i="4"/>
  <c r="AD121" i="4"/>
  <c r="AI121" i="4" s="1"/>
  <c r="AC121" i="4"/>
  <c r="AB121" i="4"/>
  <c r="AA121" i="4"/>
  <c r="Z121" i="4"/>
  <c r="Q121" i="4"/>
  <c r="AK121" i="4" s="1"/>
  <c r="AJ120" i="4"/>
  <c r="AF120" i="4"/>
  <c r="AI120" i="4" s="1"/>
  <c r="AD120" i="4"/>
  <c r="AC120" i="4"/>
  <c r="AB120" i="4"/>
  <c r="AA120" i="4"/>
  <c r="Z120" i="4"/>
  <c r="Q120" i="4"/>
  <c r="AK120" i="4" s="1"/>
  <c r="AK119" i="4"/>
  <c r="AJ119" i="4"/>
  <c r="AI119" i="4"/>
  <c r="AF119" i="4"/>
  <c r="AD119" i="4"/>
  <c r="AC119" i="4"/>
  <c r="AB119" i="4"/>
  <c r="AA119" i="4"/>
  <c r="Z119" i="4"/>
  <c r="Q119" i="4"/>
  <c r="AK118" i="4"/>
  <c r="AJ118" i="4"/>
  <c r="AI118" i="4"/>
  <c r="AF118" i="4"/>
  <c r="AD118" i="4"/>
  <c r="AC118" i="4"/>
  <c r="AB118" i="4"/>
  <c r="AA118" i="4"/>
  <c r="Z118" i="4"/>
  <c r="Q118" i="4"/>
  <c r="AF117" i="4"/>
  <c r="AD117" i="4"/>
  <c r="AI117" i="4" s="1"/>
  <c r="AJ117" i="4" s="1"/>
  <c r="AK117" i="4" s="1"/>
  <c r="AC117" i="4"/>
  <c r="AB117" i="4"/>
  <c r="AA117" i="4"/>
  <c r="Z117" i="4"/>
  <c r="Q117" i="4"/>
  <c r="AJ116" i="4"/>
  <c r="AF116" i="4"/>
  <c r="AI116" i="4" s="1"/>
  <c r="AD116" i="4"/>
  <c r="AC116" i="4"/>
  <c r="AB116" i="4"/>
  <c r="AA116" i="4"/>
  <c r="Z116" i="4"/>
  <c r="Q116" i="4"/>
  <c r="AJ115" i="4"/>
  <c r="AF115" i="4"/>
  <c r="AD115" i="4"/>
  <c r="AI115" i="4" s="1"/>
  <c r="AC115" i="4"/>
  <c r="AB115" i="4"/>
  <c r="AA115" i="4"/>
  <c r="Z115" i="4"/>
  <c r="Q115" i="4"/>
  <c r="AK115" i="4" s="1"/>
  <c r="AI114" i="4"/>
  <c r="AJ114" i="4" s="1"/>
  <c r="AK114" i="4" s="1"/>
  <c r="AF114" i="4"/>
  <c r="AD114" i="4"/>
  <c r="AC114" i="4"/>
  <c r="AB114" i="4"/>
  <c r="AA114" i="4"/>
  <c r="Z114" i="4"/>
  <c r="Q114" i="4"/>
  <c r="AF113" i="4"/>
  <c r="AD113" i="4"/>
  <c r="AI113" i="4" s="1"/>
  <c r="AJ113" i="4" s="1"/>
  <c r="AK113" i="4" s="1"/>
  <c r="AC113" i="4"/>
  <c r="AB113" i="4"/>
  <c r="AA113" i="4"/>
  <c r="Z113" i="4"/>
  <c r="Q113" i="4"/>
  <c r="AF112" i="4"/>
  <c r="AD112" i="4"/>
  <c r="AI112" i="4" s="1"/>
  <c r="AJ112" i="4" s="1"/>
  <c r="AC112" i="4"/>
  <c r="AB112" i="4"/>
  <c r="AA112" i="4"/>
  <c r="Z112" i="4"/>
  <c r="Q112" i="4"/>
  <c r="AJ111" i="4"/>
  <c r="AK111" i="4" s="1"/>
  <c r="AF111" i="4"/>
  <c r="AD111" i="4"/>
  <c r="AI111" i="4" s="1"/>
  <c r="AC111" i="4"/>
  <c r="AB111" i="4"/>
  <c r="AA111" i="4"/>
  <c r="Z111" i="4"/>
  <c r="Q111" i="4"/>
  <c r="AF110" i="4"/>
  <c r="AD110" i="4"/>
  <c r="AI110" i="4" s="1"/>
  <c r="AJ110" i="4" s="1"/>
  <c r="AK110" i="4" s="1"/>
  <c r="AC110" i="4"/>
  <c r="AB110" i="4"/>
  <c r="AA110" i="4"/>
  <c r="Z110" i="4"/>
  <c r="Q110" i="4"/>
  <c r="AF109" i="4"/>
  <c r="AD109" i="4"/>
  <c r="AC109" i="4"/>
  <c r="AB109" i="4"/>
  <c r="AA109" i="4"/>
  <c r="Z109" i="4"/>
  <c r="Q109" i="4"/>
  <c r="AK108" i="4"/>
  <c r="AJ108" i="4"/>
  <c r="AI108" i="4"/>
  <c r="AF108" i="4"/>
  <c r="AD108" i="4"/>
  <c r="AC108" i="4"/>
  <c r="AB108" i="4"/>
  <c r="AA108" i="4"/>
  <c r="Z108" i="4"/>
  <c r="Q108" i="4"/>
  <c r="AF107" i="4"/>
  <c r="AD107" i="4"/>
  <c r="AI107" i="4" s="1"/>
  <c r="AJ107" i="4" s="1"/>
  <c r="AK107" i="4" s="1"/>
  <c r="AC107" i="4"/>
  <c r="AB107" i="4"/>
  <c r="AA107" i="4"/>
  <c r="Z107" i="4"/>
  <c r="Q107" i="4"/>
  <c r="AF106" i="4"/>
  <c r="AD106" i="4"/>
  <c r="AI106" i="4" s="1"/>
  <c r="AJ106" i="4" s="1"/>
  <c r="AK106" i="4" s="1"/>
  <c r="AC106" i="4"/>
  <c r="AB106" i="4"/>
  <c r="AA106" i="4"/>
  <c r="Z106" i="4"/>
  <c r="Q106" i="4"/>
  <c r="AF105" i="4"/>
  <c r="AD105" i="4"/>
  <c r="AI105" i="4" s="1"/>
  <c r="AJ105" i="4" s="1"/>
  <c r="AC105" i="4"/>
  <c r="AB105" i="4"/>
  <c r="AA105" i="4"/>
  <c r="Z105" i="4"/>
  <c r="Q105" i="4"/>
  <c r="AF104" i="4"/>
  <c r="AD104" i="4"/>
  <c r="AI104" i="4" s="1"/>
  <c r="AJ104" i="4" s="1"/>
  <c r="AK104" i="4" s="1"/>
  <c r="AC104" i="4"/>
  <c r="AB104" i="4"/>
  <c r="AA104" i="4"/>
  <c r="Z104" i="4"/>
  <c r="Q104" i="4"/>
  <c r="AF103" i="4"/>
  <c r="AD103" i="4"/>
  <c r="AC103" i="4"/>
  <c r="AB103" i="4"/>
  <c r="AA103" i="4"/>
  <c r="Z103" i="4"/>
  <c r="Q103" i="4"/>
  <c r="AJ102" i="4"/>
  <c r="AF102" i="4"/>
  <c r="AI102" i="4" s="1"/>
  <c r="AD102" i="4"/>
  <c r="AC102" i="4"/>
  <c r="AB102" i="4"/>
  <c r="AA102" i="4"/>
  <c r="Z102" i="4"/>
  <c r="Q102" i="4"/>
  <c r="AK102" i="4" s="1"/>
  <c r="AF101" i="4"/>
  <c r="AD101" i="4"/>
  <c r="AI101" i="4" s="1"/>
  <c r="AJ101" i="4" s="1"/>
  <c r="AK101" i="4" s="1"/>
  <c r="AC101" i="4"/>
  <c r="AB101" i="4"/>
  <c r="AA101" i="4"/>
  <c r="Z101" i="4"/>
  <c r="Q101" i="4"/>
  <c r="AJ100" i="4"/>
  <c r="AI100" i="4"/>
  <c r="AF100" i="4"/>
  <c r="AD100" i="4"/>
  <c r="AC100" i="4"/>
  <c r="AB100" i="4"/>
  <c r="AA100" i="4"/>
  <c r="Z100" i="4"/>
  <c r="Q100" i="4"/>
  <c r="AK100" i="4" s="1"/>
  <c r="AK99" i="4"/>
  <c r="AJ99" i="4"/>
  <c r="AF99" i="4"/>
  <c r="AD99" i="4"/>
  <c r="AI99" i="4" s="1"/>
  <c r="AC99" i="4"/>
  <c r="AB99" i="4"/>
  <c r="AA99" i="4"/>
  <c r="Z99" i="4"/>
  <c r="Q99" i="4"/>
  <c r="AJ98" i="4"/>
  <c r="AK98" i="4" s="1"/>
  <c r="AF98" i="4"/>
  <c r="AI98" i="4" s="1"/>
  <c r="AD98" i="4"/>
  <c r="AC98" i="4"/>
  <c r="AB98" i="4"/>
  <c r="AA98" i="4"/>
  <c r="Z98" i="4"/>
  <c r="Q98" i="4"/>
  <c r="AF97" i="4"/>
  <c r="AD97" i="4"/>
  <c r="AC97" i="4"/>
  <c r="AB97" i="4"/>
  <c r="AA97" i="4"/>
  <c r="Z97" i="4"/>
  <c r="Q97" i="4"/>
  <c r="AJ96" i="4"/>
  <c r="AI96" i="4"/>
  <c r="AF96" i="4"/>
  <c r="AD96" i="4"/>
  <c r="AC96" i="4"/>
  <c r="AB96" i="4"/>
  <c r="AA96" i="4"/>
  <c r="Z96" i="4"/>
  <c r="Q96" i="4"/>
  <c r="AK96" i="4" s="1"/>
  <c r="AI95" i="4"/>
  <c r="AJ95" i="4" s="1"/>
  <c r="AK95" i="4" s="1"/>
  <c r="AF95" i="4"/>
  <c r="AD95" i="4"/>
  <c r="AC95" i="4"/>
  <c r="AB95" i="4"/>
  <c r="AA95" i="4"/>
  <c r="Z95" i="4"/>
  <c r="Q95" i="4"/>
  <c r="AJ94" i="4"/>
  <c r="AI94" i="4"/>
  <c r="AF94" i="4"/>
  <c r="AD94" i="4"/>
  <c r="AC94" i="4"/>
  <c r="AB94" i="4"/>
  <c r="AA94" i="4"/>
  <c r="Z94" i="4"/>
  <c r="Q94" i="4"/>
  <c r="AK94" i="4" s="1"/>
  <c r="AF93" i="4"/>
  <c r="AD93" i="4"/>
  <c r="AI93" i="4" s="1"/>
  <c r="AJ93" i="4" s="1"/>
  <c r="AK93" i="4" s="1"/>
  <c r="AC93" i="4"/>
  <c r="AB93" i="4"/>
  <c r="AA93" i="4"/>
  <c r="Z93" i="4"/>
  <c r="Q93" i="4"/>
  <c r="AF92" i="4"/>
  <c r="AI92" i="4" s="1"/>
  <c r="AJ92" i="4" s="1"/>
  <c r="AK92" i="4" s="1"/>
  <c r="AD92" i="4"/>
  <c r="AC92" i="4"/>
  <c r="AB92" i="4"/>
  <c r="AA92" i="4"/>
  <c r="Z92" i="4"/>
  <c r="Q92" i="4"/>
  <c r="AF91" i="4"/>
  <c r="AD91" i="4"/>
  <c r="AI91" i="4" s="1"/>
  <c r="AJ91" i="4" s="1"/>
  <c r="AK91" i="4" s="1"/>
  <c r="AC91" i="4"/>
  <c r="AB91" i="4"/>
  <c r="AA91" i="4"/>
  <c r="Z91" i="4"/>
  <c r="Q91" i="4"/>
  <c r="AJ90" i="4"/>
  <c r="AI90" i="4"/>
  <c r="AF90" i="4"/>
  <c r="AD90" i="4"/>
  <c r="AC90" i="4"/>
  <c r="AB90" i="4"/>
  <c r="AA90" i="4"/>
  <c r="Z90" i="4"/>
  <c r="Q90" i="4"/>
  <c r="AK90" i="4" s="1"/>
  <c r="AJ89" i="4"/>
  <c r="AK89" i="4" s="1"/>
  <c r="AI89" i="4"/>
  <c r="AF89" i="4"/>
  <c r="AD89" i="4"/>
  <c r="AC89" i="4"/>
  <c r="AB89" i="4"/>
  <c r="AA89" i="4"/>
  <c r="Z89" i="4"/>
  <c r="Q89" i="4"/>
  <c r="AF88" i="4"/>
  <c r="AI88" i="4" s="1"/>
  <c r="AJ88" i="4" s="1"/>
  <c r="AK88" i="4" s="1"/>
  <c r="AD88" i="4"/>
  <c r="AC88" i="4"/>
  <c r="AB88" i="4"/>
  <c r="AA88" i="4"/>
  <c r="Z88" i="4"/>
  <c r="Q88" i="4"/>
  <c r="AF87" i="4"/>
  <c r="AD87" i="4"/>
  <c r="AI87" i="4" s="1"/>
  <c r="AJ87" i="4" s="1"/>
  <c r="AK87" i="4" s="1"/>
  <c r="AC87" i="4"/>
  <c r="AB87" i="4"/>
  <c r="AA87" i="4"/>
  <c r="Z87" i="4"/>
  <c r="Q87" i="4"/>
  <c r="AJ86" i="4"/>
  <c r="AF86" i="4"/>
  <c r="AD86" i="4"/>
  <c r="AC86" i="4"/>
  <c r="AB86" i="4"/>
  <c r="AA86" i="4"/>
  <c r="Z86" i="4"/>
  <c r="Q86" i="4"/>
  <c r="AK85" i="4"/>
  <c r="AJ85" i="4"/>
  <c r="AF85" i="4"/>
  <c r="AD85" i="4"/>
  <c r="AC85" i="4"/>
  <c r="AB85" i="4"/>
  <c r="AA85" i="4"/>
  <c r="Z85" i="4"/>
  <c r="Q85" i="4"/>
  <c r="AJ84" i="4"/>
  <c r="AK84" i="4" s="1"/>
  <c r="AF84" i="4"/>
  <c r="AI84" i="4" s="1"/>
  <c r="AD84" i="4"/>
  <c r="AC84" i="4"/>
  <c r="AB84" i="4"/>
  <c r="AA84" i="4"/>
  <c r="Z84" i="4"/>
  <c r="Q84" i="4"/>
  <c r="AF83" i="4"/>
  <c r="AD83" i="4"/>
  <c r="AC83" i="4"/>
  <c r="AB83" i="4"/>
  <c r="AA83" i="4"/>
  <c r="Z83" i="4"/>
  <c r="Q83" i="4"/>
  <c r="AJ82" i="4"/>
  <c r="AF82" i="4"/>
  <c r="AD82" i="4"/>
  <c r="AI82" i="4" s="1"/>
  <c r="AC82" i="4"/>
  <c r="AB82" i="4"/>
  <c r="AA82" i="4"/>
  <c r="Z82" i="4"/>
  <c r="Q82" i="4"/>
  <c r="AK82" i="4" s="1"/>
  <c r="AF81" i="4"/>
  <c r="AD81" i="4"/>
  <c r="AI81" i="4" s="1"/>
  <c r="AJ81" i="4" s="1"/>
  <c r="AC81" i="4"/>
  <c r="AB81" i="4"/>
  <c r="AA81" i="4"/>
  <c r="Z81" i="4"/>
  <c r="Q81" i="4"/>
  <c r="AK81" i="4" s="1"/>
  <c r="AF80" i="4"/>
  <c r="AI80" i="4" s="1"/>
  <c r="AJ80" i="4" s="1"/>
  <c r="AK80" i="4" s="1"/>
  <c r="AD80" i="4"/>
  <c r="AC80" i="4"/>
  <c r="AB80" i="4"/>
  <c r="AA80" i="4"/>
  <c r="Z80" i="4"/>
  <c r="Q80" i="4"/>
  <c r="AJ79" i="4"/>
  <c r="AK79" i="4" s="1"/>
  <c r="AF79" i="4"/>
  <c r="AD79" i="4"/>
  <c r="AI79" i="4" s="1"/>
  <c r="AC79" i="4"/>
  <c r="AB79" i="4"/>
  <c r="AA79" i="4"/>
  <c r="Z79" i="4"/>
  <c r="Q79" i="4"/>
  <c r="AF78" i="4"/>
  <c r="AI78" i="4" s="1"/>
  <c r="AJ78" i="4" s="1"/>
  <c r="AK78" i="4" s="1"/>
  <c r="AD78" i="4"/>
  <c r="AC78" i="4"/>
  <c r="AB78" i="4"/>
  <c r="AA78" i="4"/>
  <c r="Z78" i="4"/>
  <c r="Q78" i="4"/>
  <c r="AF77" i="4"/>
  <c r="AD77" i="4"/>
  <c r="AC77" i="4"/>
  <c r="AB77" i="4"/>
  <c r="AA77" i="4"/>
  <c r="Z77" i="4"/>
  <c r="Q77" i="4"/>
  <c r="AK76" i="4"/>
  <c r="AJ76" i="4"/>
  <c r="AF76" i="4"/>
  <c r="AD76" i="4"/>
  <c r="AI76" i="4" s="1"/>
  <c r="AC76" i="4"/>
  <c r="AB76" i="4"/>
  <c r="AA76" i="4"/>
  <c r="Z76" i="4"/>
  <c r="Q76" i="4"/>
  <c r="AJ75" i="4"/>
  <c r="AK75" i="4" s="1"/>
  <c r="AI75" i="4"/>
  <c r="AF75" i="4"/>
  <c r="AD75" i="4"/>
  <c r="AC75" i="4"/>
  <c r="AB75" i="4"/>
  <c r="AA75" i="4"/>
  <c r="Z75" i="4"/>
  <c r="Q75" i="4"/>
  <c r="AF74" i="4"/>
  <c r="AD74" i="4"/>
  <c r="AC74" i="4"/>
  <c r="AB74" i="4"/>
  <c r="AA74" i="4"/>
  <c r="Z74" i="4"/>
  <c r="Q74" i="4"/>
  <c r="AJ73" i="4"/>
  <c r="AK73" i="4" s="1"/>
  <c r="AF73" i="4"/>
  <c r="AD73" i="4"/>
  <c r="AI73" i="4" s="1"/>
  <c r="AC73" i="4"/>
  <c r="AB73" i="4"/>
  <c r="AA73" i="4"/>
  <c r="Z73" i="4"/>
  <c r="Q73" i="4"/>
  <c r="AF72" i="4"/>
  <c r="AD72" i="4"/>
  <c r="AI72" i="4" s="1"/>
  <c r="AC72" i="4"/>
  <c r="AB72" i="4"/>
  <c r="AA72" i="4"/>
  <c r="Z72" i="4"/>
  <c r="Q72" i="4"/>
  <c r="AK72" i="4" s="1"/>
  <c r="AJ71" i="4"/>
  <c r="AF71" i="4"/>
  <c r="AD71" i="4"/>
  <c r="AC71" i="4"/>
  <c r="AB71" i="4"/>
  <c r="AA71" i="4"/>
  <c r="Z71" i="4"/>
  <c r="Q71" i="4"/>
  <c r="AK71" i="4" s="1"/>
  <c r="AF70" i="4"/>
  <c r="AI70" i="4" s="1"/>
  <c r="AJ70" i="4" s="1"/>
  <c r="AK70" i="4" s="1"/>
  <c r="AD70" i="4"/>
  <c r="AC70" i="4"/>
  <c r="AB70" i="4"/>
  <c r="AA70" i="4"/>
  <c r="Z70" i="4"/>
  <c r="Q70" i="4"/>
  <c r="AF69" i="4"/>
  <c r="AD69" i="4"/>
  <c r="AI69" i="4" s="1"/>
  <c r="AJ69" i="4" s="1"/>
  <c r="AK69" i="4" s="1"/>
  <c r="AC69" i="4"/>
  <c r="AB69" i="4"/>
  <c r="AA69" i="4"/>
  <c r="Z69" i="4"/>
  <c r="Q69" i="4"/>
  <c r="AJ68" i="4"/>
  <c r="AF68" i="4"/>
  <c r="AD68" i="4"/>
  <c r="AI68" i="4" s="1"/>
  <c r="AC68" i="4"/>
  <c r="AB68" i="4"/>
  <c r="AA68" i="4"/>
  <c r="Z68" i="4"/>
  <c r="Q68" i="4"/>
  <c r="AK68" i="4" s="1"/>
  <c r="AJ67" i="4"/>
  <c r="AK67" i="4" s="1"/>
  <c r="AF67" i="4"/>
  <c r="AD67" i="4"/>
  <c r="AI67" i="4" s="1"/>
  <c r="AC67" i="4"/>
  <c r="AB67" i="4"/>
  <c r="AA67" i="4"/>
  <c r="Z67" i="4"/>
  <c r="Q67" i="4"/>
  <c r="AF66" i="4"/>
  <c r="AD66" i="4"/>
  <c r="AI66" i="4" s="1"/>
  <c r="AJ66" i="4" s="1"/>
  <c r="AK66" i="4" s="1"/>
  <c r="AC66" i="4"/>
  <c r="AB66" i="4"/>
  <c r="AA66" i="4"/>
  <c r="Z66" i="4"/>
  <c r="Q66" i="4"/>
  <c r="AJ65" i="4"/>
  <c r="AF65" i="4"/>
  <c r="AD65" i="4"/>
  <c r="AI65" i="4" s="1"/>
  <c r="AC65" i="4"/>
  <c r="AB65" i="4"/>
  <c r="AA65" i="4"/>
  <c r="Z65" i="4"/>
  <c r="Q65" i="4"/>
  <c r="AK64" i="4"/>
  <c r="AJ64" i="4"/>
  <c r="AI64" i="4"/>
  <c r="AF64" i="4"/>
  <c r="AD64" i="4"/>
  <c r="AC64" i="4"/>
  <c r="AB64" i="4"/>
  <c r="AA64" i="4"/>
  <c r="Z64" i="4"/>
  <c r="Q64" i="4"/>
  <c r="AJ63" i="4"/>
  <c r="AK63" i="4" s="1"/>
  <c r="AI63" i="4"/>
  <c r="AF63" i="4"/>
  <c r="AD63" i="4"/>
  <c r="AC63" i="4"/>
  <c r="AB63" i="4"/>
  <c r="AA63" i="4"/>
  <c r="Z63" i="4"/>
  <c r="Q63" i="4"/>
  <c r="AJ62" i="4"/>
  <c r="AF62" i="4"/>
  <c r="AD62" i="4"/>
  <c r="AC62" i="4"/>
  <c r="AB62" i="4"/>
  <c r="AA62" i="4"/>
  <c r="Z62" i="4"/>
  <c r="Q62" i="4"/>
  <c r="AK62" i="4" s="1"/>
  <c r="AJ61" i="4"/>
  <c r="AF61" i="4"/>
  <c r="AD61" i="4"/>
  <c r="AI61" i="4" s="1"/>
  <c r="AC61" i="4"/>
  <c r="AB61" i="4"/>
  <c r="AA61" i="4"/>
  <c r="Z61" i="4"/>
  <c r="Q61" i="4"/>
  <c r="AJ60" i="4"/>
  <c r="AK60" i="4" s="1"/>
  <c r="AI60" i="4"/>
  <c r="AF60" i="4"/>
  <c r="AD60" i="4"/>
  <c r="AC60" i="4"/>
  <c r="AB60" i="4"/>
  <c r="AA60" i="4"/>
  <c r="Z60" i="4"/>
  <c r="Q60" i="4"/>
  <c r="AF59" i="4"/>
  <c r="AD59" i="4"/>
  <c r="AI59" i="4" s="1"/>
  <c r="AJ59" i="4" s="1"/>
  <c r="AK59" i="4" s="1"/>
  <c r="AC59" i="4"/>
  <c r="AB59" i="4"/>
  <c r="AA59" i="4"/>
  <c r="Z59" i="4"/>
  <c r="Q59" i="4"/>
  <c r="AF58" i="4"/>
  <c r="AI58" i="4" s="1"/>
  <c r="AJ58" i="4" s="1"/>
  <c r="AK58" i="4" s="1"/>
  <c r="AD58" i="4"/>
  <c r="AC58" i="4"/>
  <c r="AB58" i="4"/>
  <c r="AA58" i="4"/>
  <c r="Z58" i="4"/>
  <c r="Q58" i="4"/>
  <c r="AF57" i="4"/>
  <c r="AD57" i="4"/>
  <c r="AC57" i="4"/>
  <c r="AB57" i="4"/>
  <c r="AA57" i="4"/>
  <c r="Z57" i="4"/>
  <c r="Q57" i="4"/>
  <c r="AF56" i="4"/>
  <c r="AD56" i="4"/>
  <c r="AI56" i="4" s="1"/>
  <c r="AJ56" i="4" s="1"/>
  <c r="AK56" i="4" s="1"/>
  <c r="AC56" i="4"/>
  <c r="AB56" i="4"/>
  <c r="AA56" i="4"/>
  <c r="Z56" i="4"/>
  <c r="Q56" i="4"/>
  <c r="AF55" i="4"/>
  <c r="AD55" i="4"/>
  <c r="AI55" i="4" s="1"/>
  <c r="AJ55" i="4" s="1"/>
  <c r="AK55" i="4" s="1"/>
  <c r="AC55" i="4"/>
  <c r="AB55" i="4"/>
  <c r="AA55" i="4"/>
  <c r="Z55" i="4"/>
  <c r="Q55" i="4"/>
  <c r="AF54" i="4"/>
  <c r="AD54" i="4"/>
  <c r="AI54" i="4" s="1"/>
  <c r="AJ54" i="4" s="1"/>
  <c r="AK54" i="4" s="1"/>
  <c r="AC54" i="4"/>
  <c r="AB54" i="4"/>
  <c r="AA54" i="4"/>
  <c r="Z54" i="4"/>
  <c r="Q54" i="4"/>
  <c r="AJ53" i="4"/>
  <c r="AK53" i="4" s="1"/>
  <c r="AI53" i="4"/>
  <c r="AF53" i="4"/>
  <c r="AD53" i="4"/>
  <c r="AC53" i="4"/>
  <c r="AB53" i="4"/>
  <c r="AA53" i="4"/>
  <c r="Z53" i="4"/>
  <c r="Q53" i="4"/>
  <c r="AF52" i="4"/>
  <c r="AD52" i="4"/>
  <c r="AC52" i="4"/>
  <c r="AB52" i="4"/>
  <c r="AA52" i="4"/>
  <c r="Z52" i="4"/>
  <c r="Q52" i="4"/>
  <c r="AF51" i="4"/>
  <c r="AD51" i="4"/>
  <c r="AC51" i="4"/>
  <c r="AB51" i="4"/>
  <c r="AA51" i="4"/>
  <c r="Z51" i="4"/>
  <c r="Q51" i="4"/>
  <c r="AF50" i="4"/>
  <c r="AD50" i="4"/>
  <c r="AI50" i="4" s="1"/>
  <c r="AJ50" i="4" s="1"/>
  <c r="AC50" i="4"/>
  <c r="AB50" i="4"/>
  <c r="AA50" i="4"/>
  <c r="Z50" i="4"/>
  <c r="Q50" i="4"/>
  <c r="AJ49" i="4"/>
  <c r="AI49" i="4"/>
  <c r="AF49" i="4"/>
  <c r="AD49" i="4"/>
  <c r="AC49" i="4"/>
  <c r="AB49" i="4"/>
  <c r="AA49" i="4"/>
  <c r="Z49" i="4"/>
  <c r="Q49" i="4"/>
  <c r="AJ48" i="4"/>
  <c r="AK48" i="4" s="1"/>
  <c r="AF48" i="4"/>
  <c r="AD48" i="4"/>
  <c r="AC48" i="4"/>
  <c r="AB48" i="4"/>
  <c r="AA48" i="4"/>
  <c r="Z48" i="4"/>
  <c r="Q48" i="4"/>
  <c r="AI47" i="4"/>
  <c r="AJ47" i="4" s="1"/>
  <c r="AF47" i="4"/>
  <c r="AD47" i="4"/>
  <c r="AC47" i="4"/>
  <c r="AB47" i="4"/>
  <c r="AA47" i="4"/>
  <c r="Z47" i="4"/>
  <c r="Q47" i="4"/>
  <c r="AF46" i="4"/>
  <c r="AD46" i="4"/>
  <c r="AI46" i="4" s="1"/>
  <c r="AJ46" i="4" s="1"/>
  <c r="AC46" i="4"/>
  <c r="AB46" i="4"/>
  <c r="AA46" i="4"/>
  <c r="Z46" i="4"/>
  <c r="Q46" i="4"/>
  <c r="AK46" i="4" s="1"/>
  <c r="AK45" i="4"/>
  <c r="AJ45" i="4"/>
  <c r="AI45" i="4"/>
  <c r="AF45" i="4"/>
  <c r="AD45" i="4"/>
  <c r="AC45" i="4"/>
  <c r="AB45" i="4"/>
  <c r="AA45" i="4"/>
  <c r="Z45" i="4"/>
  <c r="Q45" i="4"/>
  <c r="AF44" i="4"/>
  <c r="AI44" i="4" s="1"/>
  <c r="AJ44" i="4" s="1"/>
  <c r="AK44" i="4" s="1"/>
  <c r="AD44" i="4"/>
  <c r="AC44" i="4"/>
  <c r="AB44" i="4"/>
  <c r="AA44" i="4"/>
  <c r="Z44" i="4"/>
  <c r="Q44" i="4"/>
  <c r="AJ43" i="4"/>
  <c r="AK43" i="4" s="1"/>
  <c r="AF43" i="4"/>
  <c r="AD43" i="4"/>
  <c r="AI43" i="4" s="1"/>
  <c r="AC43" i="4"/>
  <c r="AB43" i="4"/>
  <c r="AA43" i="4"/>
  <c r="Z43" i="4"/>
  <c r="Q43" i="4"/>
  <c r="AF42" i="4"/>
  <c r="AD42" i="4"/>
  <c r="AI42" i="4" s="1"/>
  <c r="AJ42" i="4" s="1"/>
  <c r="AK42" i="4" s="1"/>
  <c r="AC42" i="4"/>
  <c r="AB42" i="4"/>
  <c r="AA42" i="4"/>
  <c r="Z42" i="4"/>
  <c r="Q42" i="4"/>
  <c r="AJ41" i="4"/>
  <c r="AK41" i="4" s="1"/>
  <c r="AI41" i="4"/>
  <c r="AF41" i="4"/>
  <c r="AD41" i="4"/>
  <c r="AC41" i="4"/>
  <c r="AB41" i="4"/>
  <c r="AA41" i="4"/>
  <c r="Z41" i="4"/>
  <c r="Q41" i="4"/>
  <c r="AJ40" i="4"/>
  <c r="AI40" i="4"/>
  <c r="AF40" i="4"/>
  <c r="AD40" i="4"/>
  <c r="AC40" i="4"/>
  <c r="AB40" i="4"/>
  <c r="AA40" i="4"/>
  <c r="Z40" i="4"/>
  <c r="Q40" i="4"/>
  <c r="AF39" i="4"/>
  <c r="AD39" i="4"/>
  <c r="AC39" i="4"/>
  <c r="AB39" i="4"/>
  <c r="AA39" i="4"/>
  <c r="Z39" i="4"/>
  <c r="Q39" i="4"/>
  <c r="AK38" i="4"/>
  <c r="AJ38" i="4"/>
  <c r="AI38" i="4"/>
  <c r="AF38" i="4"/>
  <c r="AD38" i="4"/>
  <c r="AC38" i="4"/>
  <c r="AB38" i="4"/>
  <c r="AA38" i="4"/>
  <c r="Z38" i="4"/>
  <c r="Q38" i="4"/>
  <c r="AJ37" i="4"/>
  <c r="AF37" i="4"/>
  <c r="AD37" i="4"/>
  <c r="AI37" i="4" s="1"/>
  <c r="AC37" i="4"/>
  <c r="AB37" i="4"/>
  <c r="AA37" i="4"/>
  <c r="Z37" i="4"/>
  <c r="Q37" i="4"/>
  <c r="AK36" i="4"/>
  <c r="AJ36" i="4"/>
  <c r="AF36" i="4"/>
  <c r="AD36" i="4"/>
  <c r="AI36" i="4" s="1"/>
  <c r="AC36" i="4"/>
  <c r="AB36" i="4"/>
  <c r="AA36" i="4"/>
  <c r="Z36" i="4"/>
  <c r="Q36" i="4"/>
  <c r="AF35" i="4"/>
  <c r="AI35" i="4" s="1"/>
  <c r="AJ35" i="4" s="1"/>
  <c r="AK35" i="4" s="1"/>
  <c r="AD35" i="4"/>
  <c r="AC35" i="4"/>
  <c r="AB35" i="4"/>
  <c r="AA35" i="4"/>
  <c r="Z35" i="4"/>
  <c r="Q35" i="4"/>
  <c r="AK34" i="4"/>
  <c r="AF34" i="4"/>
  <c r="AD34" i="4"/>
  <c r="AI34" i="4" s="1"/>
  <c r="AJ34" i="4" s="1"/>
  <c r="AC34" i="4"/>
  <c r="AB34" i="4"/>
  <c r="AA34" i="4"/>
  <c r="Z34" i="4"/>
  <c r="Q34" i="4"/>
  <c r="AK33" i="4"/>
  <c r="AJ33" i="4"/>
  <c r="AI33" i="4"/>
  <c r="AF33" i="4"/>
  <c r="AD33" i="4"/>
  <c r="AC33" i="4"/>
  <c r="AB33" i="4"/>
  <c r="AA33" i="4"/>
  <c r="Z33" i="4"/>
  <c r="Q33" i="4"/>
  <c r="AF32" i="4"/>
  <c r="AD32" i="4"/>
  <c r="AI32" i="4" s="1"/>
  <c r="AJ32" i="4" s="1"/>
  <c r="AK32" i="4" s="1"/>
  <c r="AC32" i="4"/>
  <c r="AB32" i="4"/>
  <c r="AA32" i="4"/>
  <c r="Z32" i="4"/>
  <c r="Q32" i="4"/>
  <c r="AF31" i="4"/>
  <c r="AD31" i="4"/>
  <c r="AC31" i="4"/>
  <c r="AB31" i="4"/>
  <c r="AA31" i="4"/>
  <c r="Z31" i="4"/>
  <c r="Q31" i="4"/>
  <c r="AF30" i="4"/>
  <c r="AD30" i="4"/>
  <c r="AC30" i="4"/>
  <c r="AB30" i="4"/>
  <c r="AA30" i="4"/>
  <c r="Z30" i="4"/>
  <c r="Q30" i="4"/>
  <c r="AI29" i="4"/>
  <c r="AJ29" i="4" s="1"/>
  <c r="AK29" i="4" s="1"/>
  <c r="AF29" i="4"/>
  <c r="AD29" i="4"/>
  <c r="AC29" i="4"/>
  <c r="AB29" i="4"/>
  <c r="AA29" i="4"/>
  <c r="Z29" i="4"/>
  <c r="Q29" i="4"/>
  <c r="AF28" i="4"/>
  <c r="AD28" i="4"/>
  <c r="AI28" i="4" s="1"/>
  <c r="AJ28" i="4" s="1"/>
  <c r="AK28" i="4" s="1"/>
  <c r="AC28" i="4"/>
  <c r="AB28" i="4"/>
  <c r="AA28" i="4"/>
  <c r="Z28" i="4"/>
  <c r="Q28" i="4"/>
  <c r="AF27" i="4"/>
  <c r="AD27" i="4"/>
  <c r="AI27" i="4" s="1"/>
  <c r="AJ27" i="4" s="1"/>
  <c r="AC27" i="4"/>
  <c r="AB27" i="4"/>
  <c r="AA27" i="4"/>
  <c r="Z27" i="4"/>
  <c r="Q27" i="4"/>
  <c r="AI26" i="4"/>
  <c r="AJ26" i="4" s="1"/>
  <c r="AK26" i="4" s="1"/>
  <c r="AF26" i="4"/>
  <c r="AD26" i="4"/>
  <c r="AC26" i="4"/>
  <c r="AB26" i="4"/>
  <c r="AA26" i="4"/>
  <c r="Z26" i="4"/>
  <c r="Q26" i="4"/>
  <c r="AF25" i="4"/>
  <c r="AI25" i="4" s="1"/>
  <c r="AJ25" i="4" s="1"/>
  <c r="AK25" i="4" s="1"/>
  <c r="AD25" i="4"/>
  <c r="AC25" i="4"/>
  <c r="AB25" i="4"/>
  <c r="AA25" i="4"/>
  <c r="Z25" i="4"/>
  <c r="Q25" i="4"/>
  <c r="AJ24" i="4"/>
  <c r="AK24" i="4" s="1"/>
  <c r="AF24" i="4"/>
  <c r="AD24" i="4"/>
  <c r="AC24" i="4"/>
  <c r="AB24" i="4"/>
  <c r="AA24" i="4"/>
  <c r="Z24" i="4"/>
  <c r="Q24" i="4"/>
  <c r="AK23" i="4"/>
  <c r="AI23" i="4"/>
  <c r="AJ23" i="4" s="1"/>
  <c r="AF23" i="4"/>
  <c r="AD23" i="4"/>
  <c r="AC23" i="4"/>
  <c r="AB23" i="4"/>
  <c r="AA23" i="4"/>
  <c r="Z23" i="4"/>
  <c r="Q23" i="4"/>
  <c r="AK22" i="4"/>
  <c r="AJ22" i="4"/>
  <c r="AI22" i="4"/>
  <c r="AF22" i="4"/>
  <c r="AD22" i="4"/>
  <c r="AC22" i="4"/>
  <c r="AB22" i="4"/>
  <c r="AA22" i="4"/>
  <c r="Z22" i="4"/>
  <c r="Q22" i="4"/>
  <c r="AF21" i="4"/>
  <c r="AD21" i="4"/>
  <c r="AI21" i="4" s="1"/>
  <c r="AJ21" i="4" s="1"/>
  <c r="AK21" i="4" s="1"/>
  <c r="AC21" i="4"/>
  <c r="AB21" i="4"/>
  <c r="AA21" i="4"/>
  <c r="Z21" i="4"/>
  <c r="Q21" i="4"/>
  <c r="AK20" i="4"/>
  <c r="AJ20" i="4"/>
  <c r="AI20" i="4"/>
  <c r="AF20" i="4"/>
  <c r="AD20" i="4"/>
  <c r="AC20" i="4"/>
  <c r="AB20" i="4"/>
  <c r="AA20" i="4"/>
  <c r="Z20" i="4"/>
  <c r="Q20" i="4"/>
  <c r="AJ19" i="4"/>
  <c r="AF19" i="4"/>
  <c r="AD19" i="4"/>
  <c r="AI19" i="4" s="1"/>
  <c r="AC19" i="4"/>
  <c r="AB19" i="4"/>
  <c r="AA19" i="4"/>
  <c r="Z19" i="4"/>
  <c r="Q19" i="4"/>
  <c r="AF18" i="4"/>
  <c r="AD18" i="4"/>
  <c r="AC18" i="4"/>
  <c r="AB18" i="4"/>
  <c r="AA18" i="4"/>
  <c r="Z18" i="4"/>
  <c r="Q18" i="4"/>
  <c r="AF17" i="4"/>
  <c r="AD17" i="4"/>
  <c r="AI17" i="4" s="1"/>
  <c r="AJ17" i="4" s="1"/>
  <c r="AK17" i="4" s="1"/>
  <c r="AC17" i="4"/>
  <c r="AB17" i="4"/>
  <c r="AA17" i="4"/>
  <c r="Z17" i="4"/>
  <c r="Q17" i="4"/>
  <c r="AI16" i="4"/>
  <c r="AJ16" i="4" s="1"/>
  <c r="AK16" i="4" s="1"/>
  <c r="AF16" i="4"/>
  <c r="AD16" i="4"/>
  <c r="AC16" i="4"/>
  <c r="AB16" i="4"/>
  <c r="AA16" i="4"/>
  <c r="Z16" i="4"/>
  <c r="Q16" i="4"/>
  <c r="AF15" i="4"/>
  <c r="AD15" i="4"/>
  <c r="AI15" i="4" s="1"/>
  <c r="AJ15" i="4" s="1"/>
  <c r="AK15" i="4" s="1"/>
  <c r="AC15" i="4"/>
  <c r="AB15" i="4"/>
  <c r="AA15" i="4"/>
  <c r="Z15" i="4"/>
  <c r="Q15" i="4"/>
  <c r="AF14" i="4"/>
  <c r="AD14" i="4"/>
  <c r="AC14" i="4"/>
  <c r="AB14" i="4"/>
  <c r="AA14" i="4"/>
  <c r="Z14" i="4"/>
  <c r="Q14" i="4"/>
  <c r="AJ13" i="4"/>
  <c r="AK13" i="4" s="1"/>
  <c r="AF13" i="4"/>
  <c r="AD13" i="4"/>
  <c r="AI13" i="4" s="1"/>
  <c r="AC13" i="4"/>
  <c r="AB13" i="4"/>
  <c r="AA13" i="4"/>
  <c r="Z13" i="4"/>
  <c r="Q13" i="4"/>
  <c r="AF12" i="4"/>
  <c r="AI12" i="4" s="1"/>
  <c r="AJ12" i="4" s="1"/>
  <c r="AK12" i="4" s="1"/>
  <c r="AD12" i="4"/>
  <c r="AC12" i="4"/>
  <c r="AB12" i="4"/>
  <c r="AA12" i="4"/>
  <c r="Z12" i="4"/>
  <c r="Q12" i="4"/>
  <c r="AK11" i="4"/>
  <c r="AI11" i="4"/>
  <c r="AJ11" i="4" s="1"/>
  <c r="AF11" i="4"/>
  <c r="AD11" i="4"/>
  <c r="AC11" i="4"/>
  <c r="AB11" i="4"/>
  <c r="AA11" i="4"/>
  <c r="Z11" i="4"/>
  <c r="Q11" i="4"/>
  <c r="AI10" i="4"/>
  <c r="AJ10" i="4" s="1"/>
  <c r="AK10" i="4" s="1"/>
  <c r="AF10" i="4"/>
  <c r="AD10" i="4"/>
  <c r="AC10" i="4"/>
  <c r="AB10" i="4"/>
  <c r="AA10" i="4"/>
  <c r="Z10" i="4"/>
  <c r="Q10" i="4"/>
  <c r="AJ9" i="4"/>
  <c r="AK9" i="4" s="1"/>
  <c r="AF9" i="4"/>
  <c r="AD9" i="4"/>
  <c r="AI9" i="4" s="1"/>
  <c r="AC9" i="4"/>
  <c r="AB9" i="4"/>
  <c r="AA9" i="4"/>
  <c r="Z9" i="4"/>
  <c r="Q9" i="4"/>
  <c r="AJ8" i="4"/>
  <c r="AF8" i="4"/>
  <c r="AD8" i="4"/>
  <c r="AC8" i="4"/>
  <c r="AB8" i="4"/>
  <c r="AA8" i="4"/>
  <c r="Z8" i="4"/>
  <c r="Q8" i="4"/>
  <c r="AK8" i="4" s="1"/>
  <c r="AK7" i="4"/>
  <c r="AJ7" i="4"/>
  <c r="AI7" i="4"/>
  <c r="AF7" i="4"/>
  <c r="AD7" i="4"/>
  <c r="AC7" i="4"/>
  <c r="AB7" i="4"/>
  <c r="AA7" i="4"/>
  <c r="Z7" i="4"/>
  <c r="Q7" i="4"/>
  <c r="AI6" i="4"/>
  <c r="AJ6" i="4" s="1"/>
  <c r="AK6" i="4" s="1"/>
  <c r="AF6" i="4"/>
  <c r="AD6" i="4"/>
  <c r="AC6" i="4"/>
  <c r="AB6" i="4"/>
  <c r="AA6" i="4"/>
  <c r="Z6" i="4"/>
  <c r="Q6" i="4"/>
  <c r="AF5" i="4"/>
  <c r="AD5" i="4"/>
  <c r="AI5" i="4" s="1"/>
  <c r="AJ5" i="4" s="1"/>
  <c r="AK5" i="4" s="1"/>
  <c r="AC5" i="4"/>
  <c r="AB5" i="4"/>
  <c r="AA5" i="4"/>
  <c r="Z5" i="4"/>
  <c r="Q5" i="4"/>
  <c r="AF4" i="4"/>
  <c r="AD4" i="4"/>
  <c r="AI4" i="4" s="1"/>
  <c r="AJ4" i="4" s="1"/>
  <c r="AC4" i="4"/>
  <c r="AB4" i="4"/>
  <c r="AA4" i="4"/>
  <c r="Z4" i="4"/>
  <c r="Q4" i="4"/>
  <c r="AI200" i="1"/>
  <c r="AJ200" i="1" s="1"/>
  <c r="AK200" i="1" s="1"/>
  <c r="AF200" i="1"/>
  <c r="AD200" i="1"/>
  <c r="AC200" i="1"/>
  <c r="AB200" i="1"/>
  <c r="AA200" i="1"/>
  <c r="Z200" i="1"/>
  <c r="Q200" i="1"/>
  <c r="AM199" i="1"/>
  <c r="AL199" i="1"/>
  <c r="AJ199" i="1"/>
  <c r="AK199" i="1" s="1"/>
  <c r="AI199" i="1"/>
  <c r="AF199" i="1"/>
  <c r="AD199" i="1"/>
  <c r="AC199" i="1"/>
  <c r="AB199" i="1"/>
  <c r="AA199" i="1"/>
  <c r="Z199" i="1"/>
  <c r="Q199" i="1"/>
  <c r="AM198" i="1"/>
  <c r="AL198" i="1"/>
  <c r="AJ198" i="1"/>
  <c r="AK198" i="1" s="1"/>
  <c r="AI198" i="1"/>
  <c r="AF198" i="1"/>
  <c r="AD198" i="1"/>
  <c r="AC198" i="1"/>
  <c r="AB198" i="1"/>
  <c r="AA198" i="1"/>
  <c r="Z198" i="1"/>
  <c r="Q198" i="1"/>
  <c r="AM197" i="1"/>
  <c r="AO197" i="1" s="1"/>
  <c r="AL197" i="1"/>
  <c r="AJ197" i="1"/>
  <c r="AI197" i="1"/>
  <c r="AF197" i="1"/>
  <c r="AD197" i="1"/>
  <c r="AC197" i="1"/>
  <c r="AB197" i="1"/>
  <c r="AA197" i="1"/>
  <c r="Z197" i="1"/>
  <c r="Q197" i="1"/>
  <c r="AK197" i="1" s="1"/>
  <c r="AO196" i="1"/>
  <c r="AN196" i="1"/>
  <c r="AM196" i="1"/>
  <c r="AL196" i="1"/>
  <c r="AJ196" i="1"/>
  <c r="AF196" i="1"/>
  <c r="AD196" i="1"/>
  <c r="AI196" i="1" s="1"/>
  <c r="AC196" i="1"/>
  <c r="AB196" i="1"/>
  <c r="AA196" i="1"/>
  <c r="Z196" i="1"/>
  <c r="Q196" i="1"/>
  <c r="AK196" i="1" s="1"/>
  <c r="AO195" i="1"/>
  <c r="AM195" i="1"/>
  <c r="AL195" i="1"/>
  <c r="AJ195" i="1"/>
  <c r="AF195" i="1"/>
  <c r="AD195" i="1"/>
  <c r="AI195" i="1" s="1"/>
  <c r="AC195" i="1"/>
  <c r="AB195" i="1"/>
  <c r="AA195" i="1"/>
  <c r="Z195" i="1"/>
  <c r="Q195" i="1"/>
  <c r="AO194" i="1"/>
  <c r="AM194" i="1"/>
  <c r="AJ194" i="1"/>
  <c r="AF194" i="1"/>
  <c r="AD194" i="1"/>
  <c r="AC194" i="1"/>
  <c r="AB194" i="1"/>
  <c r="AA194" i="1"/>
  <c r="Z194" i="1"/>
  <c r="Q194" i="1"/>
  <c r="AM193" i="1"/>
  <c r="AL193" i="1"/>
  <c r="AK193" i="1"/>
  <c r="AJ193" i="1"/>
  <c r="AF193" i="1"/>
  <c r="AD193" i="1"/>
  <c r="AI193" i="1" s="1"/>
  <c r="AC193" i="1"/>
  <c r="AB193" i="1"/>
  <c r="AA193" i="1"/>
  <c r="Z193" i="1"/>
  <c r="Q193" i="1"/>
  <c r="AI192" i="1"/>
  <c r="AJ192" i="1" s="1"/>
  <c r="AK192" i="1" s="1"/>
  <c r="AF192" i="1"/>
  <c r="AD192" i="1"/>
  <c r="AC192" i="1"/>
  <c r="AB192" i="1"/>
  <c r="AA192" i="1"/>
  <c r="Z192" i="1"/>
  <c r="Q192" i="1"/>
  <c r="AF191" i="1"/>
  <c r="AL191" i="1" s="1"/>
  <c r="AM191" i="1" s="1"/>
  <c r="AD191" i="1"/>
  <c r="AC191" i="1"/>
  <c r="AB191" i="1"/>
  <c r="AA191" i="1"/>
  <c r="Z191" i="1"/>
  <c r="Q191" i="1"/>
  <c r="AF190" i="1"/>
  <c r="AD190" i="1"/>
  <c r="AC190" i="1"/>
  <c r="AB190" i="1"/>
  <c r="AA190" i="1"/>
  <c r="Z190" i="1"/>
  <c r="Q190" i="1"/>
  <c r="AM189" i="1"/>
  <c r="AO189" i="1" s="1"/>
  <c r="AJ189" i="1"/>
  <c r="AF189" i="1"/>
  <c r="AD189" i="1"/>
  <c r="AL189" i="1" s="1"/>
  <c r="AC189" i="1"/>
  <c r="AB189" i="1"/>
  <c r="AA189" i="1"/>
  <c r="Z189" i="1"/>
  <c r="Q189" i="1"/>
  <c r="AK189" i="1" s="1"/>
  <c r="AN188" i="1"/>
  <c r="AM188" i="1"/>
  <c r="AJ188" i="1"/>
  <c r="AO188" i="1" s="1"/>
  <c r="AF188" i="1"/>
  <c r="AD188" i="1"/>
  <c r="AL188" i="1" s="1"/>
  <c r="AC188" i="1"/>
  <c r="AB188" i="1"/>
  <c r="AA188" i="1"/>
  <c r="Z188" i="1"/>
  <c r="Q188" i="1"/>
  <c r="AM187" i="1"/>
  <c r="AJ187" i="1"/>
  <c r="AK187" i="1" s="1"/>
  <c r="AF187" i="1"/>
  <c r="AD187" i="1"/>
  <c r="AL187" i="1" s="1"/>
  <c r="AC187" i="1"/>
  <c r="AB187" i="1"/>
  <c r="AA187" i="1"/>
  <c r="Z187" i="1"/>
  <c r="Q187" i="1"/>
  <c r="AL186" i="1"/>
  <c r="AM186" i="1" s="1"/>
  <c r="AI186" i="1"/>
  <c r="AJ186" i="1" s="1"/>
  <c r="AK186" i="1" s="1"/>
  <c r="AF186" i="1"/>
  <c r="AD186" i="1"/>
  <c r="AC186" i="1"/>
  <c r="AB186" i="1"/>
  <c r="AA186" i="1"/>
  <c r="Z186" i="1"/>
  <c r="Q186" i="1"/>
  <c r="AL185" i="1"/>
  <c r="AM185" i="1" s="1"/>
  <c r="AK185" i="1"/>
  <c r="AJ185" i="1"/>
  <c r="AI185" i="1"/>
  <c r="AF185" i="1"/>
  <c r="AD185" i="1"/>
  <c r="AC185" i="1"/>
  <c r="AB185" i="1"/>
  <c r="AA185" i="1"/>
  <c r="Z185" i="1"/>
  <c r="Q185" i="1"/>
  <c r="AF184" i="1"/>
  <c r="AD184" i="1"/>
  <c r="AC184" i="1"/>
  <c r="AB184" i="1"/>
  <c r="AA184" i="1"/>
  <c r="Z184" i="1"/>
  <c r="Q184" i="1"/>
  <c r="AF183" i="1"/>
  <c r="AD183" i="1"/>
  <c r="AC183" i="1"/>
  <c r="AB183" i="1"/>
  <c r="AA183" i="1"/>
  <c r="Z183" i="1"/>
  <c r="Q183" i="1"/>
  <c r="AF182" i="1"/>
  <c r="AD182" i="1"/>
  <c r="AC182" i="1"/>
  <c r="AB182" i="1"/>
  <c r="AA182" i="1"/>
  <c r="Z182" i="1"/>
  <c r="Q182" i="1"/>
  <c r="AF181" i="1"/>
  <c r="AD181" i="1"/>
  <c r="AI181" i="1" s="1"/>
  <c r="AJ181" i="1" s="1"/>
  <c r="AK181" i="1" s="1"/>
  <c r="AC181" i="1"/>
  <c r="AB181" i="1"/>
  <c r="AA181" i="1"/>
  <c r="Z181" i="1"/>
  <c r="Q181" i="1"/>
  <c r="AI180" i="1"/>
  <c r="AJ180" i="1" s="1"/>
  <c r="AF180" i="1"/>
  <c r="AD180" i="1"/>
  <c r="AC180" i="1"/>
  <c r="AB180" i="1"/>
  <c r="AA180" i="1"/>
  <c r="Z180" i="1"/>
  <c r="Q180" i="1"/>
  <c r="AF179" i="1"/>
  <c r="AI179" i="1" s="1"/>
  <c r="AJ179" i="1" s="1"/>
  <c r="AK179" i="1" s="1"/>
  <c r="AD179" i="1"/>
  <c r="AC179" i="1"/>
  <c r="AB179" i="1"/>
  <c r="AA179" i="1"/>
  <c r="Z179" i="1"/>
  <c r="Q179" i="1"/>
  <c r="AM178" i="1"/>
  <c r="AK178" i="1"/>
  <c r="AF178" i="1"/>
  <c r="AL178" i="1" s="1"/>
  <c r="AD178" i="1"/>
  <c r="AC178" i="1"/>
  <c r="AB178" i="1"/>
  <c r="AA178" i="1"/>
  <c r="Z178" i="1"/>
  <c r="Q178" i="1"/>
  <c r="AM177" i="1"/>
  <c r="AO177" i="1" s="1"/>
  <c r="AL177" i="1"/>
  <c r="AK177" i="1"/>
  <c r="AF177" i="1"/>
  <c r="AD177" i="1"/>
  <c r="AI177" i="1" s="1"/>
  <c r="AC177" i="1"/>
  <c r="AB177" i="1"/>
  <c r="AA177" i="1"/>
  <c r="Z177" i="1"/>
  <c r="Q177" i="1"/>
  <c r="AL176" i="1"/>
  <c r="AM176" i="1" s="1"/>
  <c r="AK176" i="1"/>
  <c r="AI176" i="1"/>
  <c r="AJ176" i="1" s="1"/>
  <c r="AF176" i="1"/>
  <c r="AD176" i="1"/>
  <c r="AC176" i="1"/>
  <c r="AB176" i="1"/>
  <c r="AA176" i="1"/>
  <c r="Z176" i="1"/>
  <c r="Q176" i="1"/>
  <c r="AM175" i="1"/>
  <c r="AJ175" i="1"/>
  <c r="AK175" i="1" s="1"/>
  <c r="AI175" i="1"/>
  <c r="AF175" i="1"/>
  <c r="AD175" i="1"/>
  <c r="AC175" i="1"/>
  <c r="AB175" i="1"/>
  <c r="AA175" i="1"/>
  <c r="Z175" i="1"/>
  <c r="Q175" i="1"/>
  <c r="AL174" i="1"/>
  <c r="AM174" i="1" s="1"/>
  <c r="AK174" i="1"/>
  <c r="AJ174" i="1"/>
  <c r="AI174" i="1"/>
  <c r="AF174" i="1"/>
  <c r="AD174" i="1"/>
  <c r="AC174" i="1"/>
  <c r="AB174" i="1"/>
  <c r="AA174" i="1"/>
  <c r="Z174" i="1"/>
  <c r="Q174" i="1"/>
  <c r="AM173" i="1"/>
  <c r="AO173" i="1" s="1"/>
  <c r="AL173" i="1"/>
  <c r="AF173" i="1"/>
  <c r="AD173" i="1"/>
  <c r="AI173" i="1" s="1"/>
  <c r="AJ173" i="1" s="1"/>
  <c r="AC173" i="1"/>
  <c r="AB173" i="1"/>
  <c r="AA173" i="1"/>
  <c r="Z173" i="1"/>
  <c r="Q173" i="1"/>
  <c r="AK173" i="1" s="1"/>
  <c r="AF172" i="1"/>
  <c r="AD172" i="1"/>
  <c r="AC172" i="1"/>
  <c r="AB172" i="1"/>
  <c r="AA172" i="1"/>
  <c r="Z172" i="1"/>
  <c r="Q172" i="1"/>
  <c r="AF171" i="1"/>
  <c r="AD171" i="1"/>
  <c r="AL171" i="1" s="1"/>
  <c r="AM171" i="1" s="1"/>
  <c r="AC171" i="1"/>
  <c r="AB171" i="1"/>
  <c r="AA171" i="1"/>
  <c r="Z171" i="1"/>
  <c r="Q171" i="1"/>
  <c r="AF170" i="1"/>
  <c r="AD170" i="1"/>
  <c r="AC170" i="1"/>
  <c r="AB170" i="1"/>
  <c r="AA170" i="1"/>
  <c r="Z170" i="1"/>
  <c r="Q170" i="1"/>
  <c r="AF169" i="1"/>
  <c r="AD169" i="1"/>
  <c r="AC169" i="1"/>
  <c r="AB169" i="1"/>
  <c r="AA169" i="1"/>
  <c r="Z169" i="1"/>
  <c r="Q169" i="1"/>
  <c r="AF168" i="1"/>
  <c r="AD168" i="1"/>
  <c r="AC168" i="1"/>
  <c r="AB168" i="1"/>
  <c r="AA168" i="1"/>
  <c r="Z168" i="1"/>
  <c r="Q168" i="1"/>
  <c r="AI167" i="1"/>
  <c r="AJ167" i="1" s="1"/>
  <c r="AK167" i="1" s="1"/>
  <c r="AF167" i="1"/>
  <c r="AL167" i="1" s="1"/>
  <c r="AM167" i="1" s="1"/>
  <c r="AD167" i="1"/>
  <c r="AC167" i="1"/>
  <c r="AB167" i="1"/>
  <c r="AA167" i="1"/>
  <c r="Z167" i="1"/>
  <c r="Q167" i="1"/>
  <c r="AL166" i="1"/>
  <c r="AM166" i="1" s="1"/>
  <c r="AJ166" i="1"/>
  <c r="AK166" i="1" s="1"/>
  <c r="AI166" i="1"/>
  <c r="AF166" i="1"/>
  <c r="AD166" i="1"/>
  <c r="AC166" i="1"/>
  <c r="AB166" i="1"/>
  <c r="AA166" i="1"/>
  <c r="Z166" i="1"/>
  <c r="Q166" i="1"/>
  <c r="AF165" i="1"/>
  <c r="AD165" i="1"/>
  <c r="AI165" i="1" s="1"/>
  <c r="AJ165" i="1" s="1"/>
  <c r="AK165" i="1" s="1"/>
  <c r="AC165" i="1"/>
  <c r="AB165" i="1"/>
  <c r="AA165" i="1"/>
  <c r="Z165" i="1"/>
  <c r="Q165" i="1"/>
  <c r="AF164" i="1"/>
  <c r="AD164" i="1"/>
  <c r="AC164" i="1"/>
  <c r="AB164" i="1"/>
  <c r="AA164" i="1"/>
  <c r="Z164" i="1"/>
  <c r="Q164" i="1"/>
  <c r="AF163" i="1"/>
  <c r="AD163" i="1"/>
  <c r="AL163" i="1" s="1"/>
  <c r="AM163" i="1" s="1"/>
  <c r="AC163" i="1"/>
  <c r="AB163" i="1"/>
  <c r="AA163" i="1"/>
  <c r="Z163" i="1"/>
  <c r="Q163" i="1"/>
  <c r="AI162" i="1"/>
  <c r="AJ162" i="1" s="1"/>
  <c r="AK162" i="1" s="1"/>
  <c r="AF162" i="1"/>
  <c r="AD162" i="1"/>
  <c r="AC162" i="1"/>
  <c r="AB162" i="1"/>
  <c r="AA162" i="1"/>
  <c r="Z162" i="1"/>
  <c r="Q162" i="1"/>
  <c r="AF161" i="1"/>
  <c r="AL161" i="1" s="1"/>
  <c r="AM161" i="1" s="1"/>
  <c r="AD161" i="1"/>
  <c r="AC161" i="1"/>
  <c r="AB161" i="1"/>
  <c r="AA161" i="1"/>
  <c r="Z161" i="1"/>
  <c r="Q161" i="1"/>
  <c r="AM160" i="1"/>
  <c r="AL160" i="1"/>
  <c r="AJ160" i="1"/>
  <c r="AK160" i="1" s="1"/>
  <c r="AI160" i="1"/>
  <c r="AF160" i="1"/>
  <c r="AD160" i="1"/>
  <c r="AC160" i="1"/>
  <c r="AB160" i="1"/>
  <c r="AA160" i="1"/>
  <c r="Z160" i="1"/>
  <c r="Q160" i="1"/>
  <c r="AL159" i="1"/>
  <c r="AM159" i="1" s="1"/>
  <c r="AK159" i="1"/>
  <c r="AJ159" i="1"/>
  <c r="AI159" i="1"/>
  <c r="AF159" i="1"/>
  <c r="AD159" i="1"/>
  <c r="AC159" i="1"/>
  <c r="AB159" i="1"/>
  <c r="AA159" i="1"/>
  <c r="Z159" i="1"/>
  <c r="Q159" i="1"/>
  <c r="AM158" i="1"/>
  <c r="AO158" i="1" s="1"/>
  <c r="AL158" i="1"/>
  <c r="AI158" i="1"/>
  <c r="AJ158" i="1" s="1"/>
  <c r="AF158" i="1"/>
  <c r="AD158" i="1"/>
  <c r="AC158" i="1"/>
  <c r="AB158" i="1"/>
  <c r="AA158" i="1"/>
  <c r="Z158" i="1"/>
  <c r="Q158" i="1"/>
  <c r="AK158" i="1" s="1"/>
  <c r="AN157" i="1"/>
  <c r="AM157" i="1"/>
  <c r="AF157" i="1"/>
  <c r="AD157" i="1"/>
  <c r="AL157" i="1" s="1"/>
  <c r="AC157" i="1"/>
  <c r="AB157" i="1"/>
  <c r="AA157" i="1"/>
  <c r="Z157" i="1"/>
  <c r="Q157" i="1"/>
  <c r="AL156" i="1"/>
  <c r="AM156" i="1" s="1"/>
  <c r="AF156" i="1"/>
  <c r="AD156" i="1"/>
  <c r="AI156" i="1" s="1"/>
  <c r="AJ156" i="1" s="1"/>
  <c r="AK156" i="1" s="1"/>
  <c r="AC156" i="1"/>
  <c r="AB156" i="1"/>
  <c r="AA156" i="1"/>
  <c r="Z156" i="1"/>
  <c r="Q156" i="1"/>
  <c r="AF155" i="1"/>
  <c r="AD155" i="1"/>
  <c r="AL155" i="1" s="1"/>
  <c r="AM155" i="1" s="1"/>
  <c r="AC155" i="1"/>
  <c r="AB155" i="1"/>
  <c r="AA155" i="1"/>
  <c r="Z155" i="1"/>
  <c r="Q155" i="1"/>
  <c r="AM154" i="1"/>
  <c r="AJ154" i="1"/>
  <c r="AI154" i="1"/>
  <c r="AF154" i="1"/>
  <c r="AD154" i="1"/>
  <c r="AC154" i="1"/>
  <c r="AB154" i="1"/>
  <c r="AA154" i="1"/>
  <c r="Z154" i="1"/>
  <c r="Q154" i="1"/>
  <c r="AN154" i="1" s="1"/>
  <c r="AF153" i="1"/>
  <c r="AD153" i="1"/>
  <c r="AL153" i="1" s="1"/>
  <c r="AM153" i="1" s="1"/>
  <c r="AC153" i="1"/>
  <c r="AB153" i="1"/>
  <c r="AA153" i="1"/>
  <c r="Z153" i="1"/>
  <c r="Q153" i="1"/>
  <c r="AF152" i="1"/>
  <c r="AD152" i="1"/>
  <c r="AL152" i="1" s="1"/>
  <c r="AM152" i="1" s="1"/>
  <c r="AC152" i="1"/>
  <c r="AB152" i="1"/>
  <c r="AA152" i="1"/>
  <c r="Z152" i="1"/>
  <c r="Q152" i="1"/>
  <c r="AF151" i="1"/>
  <c r="AI151" i="1" s="1"/>
  <c r="AJ151" i="1" s="1"/>
  <c r="AK151" i="1" s="1"/>
  <c r="AD151" i="1"/>
  <c r="AC151" i="1"/>
  <c r="AB151" i="1"/>
  <c r="AA151" i="1"/>
  <c r="Z151" i="1"/>
  <c r="Q151" i="1"/>
  <c r="AL150" i="1"/>
  <c r="AM150" i="1" s="1"/>
  <c r="AI150" i="1"/>
  <c r="AJ150" i="1" s="1"/>
  <c r="AK150" i="1" s="1"/>
  <c r="AF150" i="1"/>
  <c r="AD150" i="1"/>
  <c r="AC150" i="1"/>
  <c r="AB150" i="1"/>
  <c r="AA150" i="1"/>
  <c r="Z150" i="1"/>
  <c r="Q150" i="1"/>
  <c r="AL149" i="1"/>
  <c r="AM149" i="1" s="1"/>
  <c r="AK149" i="1"/>
  <c r="AF149" i="1"/>
  <c r="AD149" i="1"/>
  <c r="AI149" i="1" s="1"/>
  <c r="AJ149" i="1" s="1"/>
  <c r="AC149" i="1"/>
  <c r="AB149" i="1"/>
  <c r="AA149" i="1"/>
  <c r="Z149" i="1"/>
  <c r="Q149" i="1"/>
  <c r="AF148" i="1"/>
  <c r="AI148" i="1" s="1"/>
  <c r="AJ148" i="1" s="1"/>
  <c r="AK148" i="1" s="1"/>
  <c r="AD148" i="1"/>
  <c r="AC148" i="1"/>
  <c r="AB148" i="1"/>
  <c r="AA148" i="1"/>
  <c r="Z148" i="1"/>
  <c r="Q148" i="1"/>
  <c r="AM147" i="1"/>
  <c r="AJ147" i="1"/>
  <c r="AO147" i="1" s="1"/>
  <c r="AI147" i="1"/>
  <c r="AF147" i="1"/>
  <c r="AD147" i="1"/>
  <c r="AL147" i="1" s="1"/>
  <c r="AC147" i="1"/>
  <c r="AB147" i="1"/>
  <c r="AA147" i="1"/>
  <c r="Z147" i="1"/>
  <c r="Q147" i="1"/>
  <c r="AN147" i="1" s="1"/>
  <c r="K147" i="1"/>
  <c r="AL146" i="1"/>
  <c r="AM146" i="1" s="1"/>
  <c r="AI146" i="1"/>
  <c r="AJ146" i="1" s="1"/>
  <c r="AK146" i="1" s="1"/>
  <c r="AF146" i="1"/>
  <c r="AD146" i="1"/>
  <c r="AC146" i="1"/>
  <c r="AB146" i="1"/>
  <c r="AA146" i="1"/>
  <c r="Z146" i="1"/>
  <c r="Q146" i="1"/>
  <c r="AL145" i="1"/>
  <c r="AM145" i="1" s="1"/>
  <c r="AO145" i="1" s="1"/>
  <c r="AJ145" i="1"/>
  <c r="AK145" i="1" s="1"/>
  <c r="AI145" i="1"/>
  <c r="AF145" i="1"/>
  <c r="AD145" i="1"/>
  <c r="AC145" i="1"/>
  <c r="AB145" i="1"/>
  <c r="AA145" i="1"/>
  <c r="Z145" i="1"/>
  <c r="Q145" i="1"/>
  <c r="AL144" i="1"/>
  <c r="AM144" i="1" s="1"/>
  <c r="AF144" i="1"/>
  <c r="AD144" i="1"/>
  <c r="AI144" i="1" s="1"/>
  <c r="AJ144" i="1" s="1"/>
  <c r="AK144" i="1" s="1"/>
  <c r="AC144" i="1"/>
  <c r="AB144" i="1"/>
  <c r="AA144" i="1"/>
  <c r="Z144" i="1"/>
  <c r="Q144" i="1"/>
  <c r="AM143" i="1"/>
  <c r="AO143" i="1" s="1"/>
  <c r="AL143" i="1"/>
  <c r="AI143" i="1"/>
  <c r="AJ143" i="1" s="1"/>
  <c r="AK143" i="1" s="1"/>
  <c r="AF143" i="1"/>
  <c r="AD143" i="1"/>
  <c r="AC143" i="1"/>
  <c r="AB143" i="1"/>
  <c r="AA143" i="1"/>
  <c r="Z143" i="1"/>
  <c r="Q143" i="1"/>
  <c r="AO142" i="1"/>
  <c r="AM142" i="1"/>
  <c r="AL142" i="1"/>
  <c r="AK142" i="1"/>
  <c r="AJ142" i="1"/>
  <c r="AI142" i="1"/>
  <c r="AF142" i="1"/>
  <c r="AD142" i="1"/>
  <c r="AC142" i="1"/>
  <c r="AB142" i="1"/>
  <c r="AA142" i="1"/>
  <c r="Z142" i="1"/>
  <c r="Q142" i="1"/>
  <c r="AN142" i="1" s="1"/>
  <c r="AF141" i="1"/>
  <c r="AD141" i="1"/>
  <c r="AC141" i="1"/>
  <c r="AB141" i="1"/>
  <c r="AA141" i="1"/>
  <c r="Z141" i="1"/>
  <c r="Q141" i="1"/>
  <c r="AF140" i="1"/>
  <c r="AD140" i="1"/>
  <c r="AL140" i="1" s="1"/>
  <c r="AM140" i="1" s="1"/>
  <c r="AN140" i="1" s="1"/>
  <c r="AC140" i="1"/>
  <c r="AB140" i="1"/>
  <c r="AA140" i="1"/>
  <c r="Z140" i="1"/>
  <c r="Q140" i="1"/>
  <c r="AI139" i="1"/>
  <c r="AJ139" i="1" s="1"/>
  <c r="AK139" i="1" s="1"/>
  <c r="AF139" i="1"/>
  <c r="AD139" i="1"/>
  <c r="AC139" i="1"/>
  <c r="AB139" i="1"/>
  <c r="AA139" i="1"/>
  <c r="Z139" i="1"/>
  <c r="Q139" i="1"/>
  <c r="AF138" i="1"/>
  <c r="AD138" i="1"/>
  <c r="AL138" i="1" s="1"/>
  <c r="AM138" i="1" s="1"/>
  <c r="AC138" i="1"/>
  <c r="AB138" i="1"/>
  <c r="AA138" i="1"/>
  <c r="Z138" i="1"/>
  <c r="Q138" i="1"/>
  <c r="AF137" i="1"/>
  <c r="AD137" i="1"/>
  <c r="AL137" i="1" s="1"/>
  <c r="AM137" i="1" s="1"/>
  <c r="AC137" i="1"/>
  <c r="AB137" i="1"/>
  <c r="AA137" i="1"/>
  <c r="Z137" i="1"/>
  <c r="Q137" i="1"/>
  <c r="AM136" i="1"/>
  <c r="AL136" i="1"/>
  <c r="AI136" i="1"/>
  <c r="AJ136" i="1" s="1"/>
  <c r="AK136" i="1" s="1"/>
  <c r="AF136" i="1"/>
  <c r="AD136" i="1"/>
  <c r="AC136" i="1"/>
  <c r="AB136" i="1"/>
  <c r="AA136" i="1"/>
  <c r="Z136" i="1"/>
  <c r="Q136" i="1"/>
  <c r="AM135" i="1"/>
  <c r="AL135" i="1"/>
  <c r="AF135" i="1"/>
  <c r="AD135" i="1"/>
  <c r="AC135" i="1"/>
  <c r="AB135" i="1"/>
  <c r="AA135" i="1"/>
  <c r="Z135" i="1"/>
  <c r="Q135" i="1"/>
  <c r="AN135" i="1" s="1"/>
  <c r="AO134" i="1"/>
  <c r="AM134" i="1"/>
  <c r="AL134" i="1"/>
  <c r="AJ134" i="1"/>
  <c r="AI134" i="1"/>
  <c r="AF134" i="1"/>
  <c r="AD134" i="1"/>
  <c r="AC134" i="1"/>
  <c r="AB134" i="1"/>
  <c r="AA134" i="1"/>
  <c r="Z134" i="1"/>
  <c r="Q134" i="1"/>
  <c r="AN134" i="1" s="1"/>
  <c r="AO133" i="1"/>
  <c r="AL133" i="1"/>
  <c r="AM133" i="1" s="1"/>
  <c r="AJ133" i="1"/>
  <c r="AI133" i="1"/>
  <c r="AF133" i="1"/>
  <c r="AD133" i="1"/>
  <c r="AC133" i="1"/>
  <c r="AB133" i="1"/>
  <c r="AA133" i="1"/>
  <c r="Z133" i="1"/>
  <c r="Q133" i="1"/>
  <c r="AK133" i="1" s="1"/>
  <c r="AM132" i="1"/>
  <c r="AO132" i="1" s="1"/>
  <c r="AJ132" i="1"/>
  <c r="AF132" i="1"/>
  <c r="AD132" i="1"/>
  <c r="AI132" i="1" s="1"/>
  <c r="AC132" i="1"/>
  <c r="AB132" i="1"/>
  <c r="AA132" i="1"/>
  <c r="Z132" i="1"/>
  <c r="Q132" i="1"/>
  <c r="AK132" i="1" s="1"/>
  <c r="AO131" i="1"/>
  <c r="AN131" i="1"/>
  <c r="AM131" i="1"/>
  <c r="AJ131" i="1"/>
  <c r="AF131" i="1"/>
  <c r="AD131" i="1"/>
  <c r="AL131" i="1" s="1"/>
  <c r="AC131" i="1"/>
  <c r="AB131" i="1"/>
  <c r="AA131" i="1"/>
  <c r="Z131" i="1"/>
  <c r="Q131" i="1"/>
  <c r="AK131" i="1" s="1"/>
  <c r="AO130" i="1"/>
  <c r="AM130" i="1"/>
  <c r="AK130" i="1"/>
  <c r="AJ130" i="1"/>
  <c r="AF130" i="1"/>
  <c r="AD130" i="1"/>
  <c r="AL130" i="1" s="1"/>
  <c r="AC130" i="1"/>
  <c r="AB130" i="1"/>
  <c r="AA130" i="1"/>
  <c r="Z130" i="1"/>
  <c r="Q130" i="1"/>
  <c r="AN130" i="1" s="1"/>
  <c r="AL129" i="1"/>
  <c r="AM129" i="1" s="1"/>
  <c r="AF129" i="1"/>
  <c r="AD129" i="1"/>
  <c r="AI129" i="1" s="1"/>
  <c r="AJ129" i="1" s="1"/>
  <c r="AK129" i="1" s="1"/>
  <c r="AC129" i="1"/>
  <c r="AB129" i="1"/>
  <c r="AA129" i="1"/>
  <c r="Z129" i="1"/>
  <c r="Q129" i="1"/>
  <c r="AO128" i="1"/>
  <c r="AN128" i="1"/>
  <c r="AM128" i="1"/>
  <c r="AJ128" i="1"/>
  <c r="AK128" i="1" s="1"/>
  <c r="AF128" i="1"/>
  <c r="AD128" i="1"/>
  <c r="AL128" i="1" s="1"/>
  <c r="AC128" i="1"/>
  <c r="AB128" i="1"/>
  <c r="AA128" i="1"/>
  <c r="Z128" i="1"/>
  <c r="Q128" i="1"/>
  <c r="AM127" i="1"/>
  <c r="AL127" i="1"/>
  <c r="AJ127" i="1"/>
  <c r="AO127" i="1" s="1"/>
  <c r="AI127" i="1"/>
  <c r="AF127" i="1"/>
  <c r="AD127" i="1"/>
  <c r="AC127" i="1"/>
  <c r="AB127" i="1"/>
  <c r="AA127" i="1"/>
  <c r="Z127" i="1"/>
  <c r="Q127" i="1"/>
  <c r="AN127" i="1" s="1"/>
  <c r="AF126" i="1"/>
  <c r="AD126" i="1"/>
  <c r="AC126" i="1"/>
  <c r="AB126" i="1"/>
  <c r="AA126" i="1"/>
  <c r="Z126" i="1"/>
  <c r="Q126" i="1"/>
  <c r="AM125" i="1"/>
  <c r="AO125" i="1" s="1"/>
  <c r="AJ125" i="1"/>
  <c r="AF125" i="1"/>
  <c r="AD125" i="1"/>
  <c r="AC125" i="1"/>
  <c r="AB125" i="1"/>
  <c r="AA125" i="1"/>
  <c r="Z125" i="1"/>
  <c r="Q125" i="1"/>
  <c r="AK125" i="1" s="1"/>
  <c r="AM124" i="1"/>
  <c r="AJ124" i="1"/>
  <c r="AO124" i="1" s="1"/>
  <c r="AF124" i="1"/>
  <c r="AD124" i="1"/>
  <c r="AC124" i="1"/>
  <c r="AB124" i="1"/>
  <c r="AA124" i="1"/>
  <c r="Z124" i="1"/>
  <c r="Q124" i="1"/>
  <c r="AN124" i="1" s="1"/>
  <c r="AF123" i="1"/>
  <c r="AD123" i="1"/>
  <c r="AC123" i="1"/>
  <c r="AB123" i="1"/>
  <c r="AA123" i="1"/>
  <c r="Z123" i="1"/>
  <c r="Q123" i="1"/>
  <c r="AM122" i="1"/>
  <c r="AO122" i="1" s="1"/>
  <c r="AJ122" i="1"/>
  <c r="AK122" i="1" s="1"/>
  <c r="AF122" i="1"/>
  <c r="AD122" i="1"/>
  <c r="AL122" i="1" s="1"/>
  <c r="AC122" i="1"/>
  <c r="AB122" i="1"/>
  <c r="AA122" i="1"/>
  <c r="Z122" i="1"/>
  <c r="Q122" i="1"/>
  <c r="AM121" i="1"/>
  <c r="AN121" i="1" s="1"/>
  <c r="AL121" i="1"/>
  <c r="AK121" i="1"/>
  <c r="AJ121" i="1"/>
  <c r="AI121" i="1"/>
  <c r="AF121" i="1"/>
  <c r="AD121" i="1"/>
  <c r="AC121" i="1"/>
  <c r="AB121" i="1"/>
  <c r="AA121" i="1"/>
  <c r="Z121" i="1"/>
  <c r="Q121" i="1"/>
  <c r="AM120" i="1"/>
  <c r="AO120" i="1" s="1"/>
  <c r="AL120" i="1"/>
  <c r="AK120" i="1"/>
  <c r="AJ120" i="1"/>
  <c r="AF120" i="1"/>
  <c r="AD120" i="1"/>
  <c r="AI120" i="1" s="1"/>
  <c r="AC120" i="1"/>
  <c r="AB120" i="1"/>
  <c r="AA120" i="1"/>
  <c r="Z120" i="1"/>
  <c r="Q120" i="1"/>
  <c r="AI119" i="1"/>
  <c r="AJ119" i="1" s="1"/>
  <c r="AK119" i="1" s="1"/>
  <c r="AF119" i="1"/>
  <c r="AD119" i="1"/>
  <c r="AC119" i="1"/>
  <c r="AB119" i="1"/>
  <c r="AA119" i="1"/>
  <c r="Z119" i="1"/>
  <c r="Q119" i="1"/>
  <c r="AF118" i="1"/>
  <c r="AI118" i="1" s="1"/>
  <c r="AJ118" i="1" s="1"/>
  <c r="AK118" i="1" s="1"/>
  <c r="AD118" i="1"/>
  <c r="AC118" i="1"/>
  <c r="AB118" i="1"/>
  <c r="AA118" i="1"/>
  <c r="Z118" i="1"/>
  <c r="Q118" i="1"/>
  <c r="AF117" i="1"/>
  <c r="AD117" i="1"/>
  <c r="AL117" i="1" s="1"/>
  <c r="AM117" i="1" s="1"/>
  <c r="AC117" i="1"/>
  <c r="AB117" i="1"/>
  <c r="AA117" i="1"/>
  <c r="Z117" i="1"/>
  <c r="Q117" i="1"/>
  <c r="AM116" i="1"/>
  <c r="AL116" i="1"/>
  <c r="AJ116" i="1"/>
  <c r="AK116" i="1" s="1"/>
  <c r="AI116" i="1"/>
  <c r="AF116" i="1"/>
  <c r="AD116" i="1"/>
  <c r="AC116" i="1"/>
  <c r="AB116" i="1"/>
  <c r="AA116" i="1"/>
  <c r="Z116" i="1"/>
  <c r="Q116" i="1"/>
  <c r="AL115" i="1"/>
  <c r="AM115" i="1" s="1"/>
  <c r="AK115" i="1"/>
  <c r="AJ115" i="1"/>
  <c r="AI115" i="1"/>
  <c r="AF115" i="1"/>
  <c r="AD115" i="1"/>
  <c r="AC115" i="1"/>
  <c r="AB115" i="1"/>
  <c r="AA115" i="1"/>
  <c r="Z115" i="1"/>
  <c r="Q115" i="1"/>
  <c r="AF114" i="1"/>
  <c r="AD114" i="1"/>
  <c r="AI114" i="1" s="1"/>
  <c r="AJ114" i="1" s="1"/>
  <c r="AK114" i="1" s="1"/>
  <c r="AC114" i="1"/>
  <c r="AB114" i="1"/>
  <c r="AA114" i="1"/>
  <c r="Z114" i="1"/>
  <c r="Q114" i="1"/>
  <c r="AI113" i="1"/>
  <c r="AJ113" i="1" s="1"/>
  <c r="AF113" i="1"/>
  <c r="AD113" i="1"/>
  <c r="AC113" i="1"/>
  <c r="AB113" i="1"/>
  <c r="AA113" i="1"/>
  <c r="Z113" i="1"/>
  <c r="Q113" i="1"/>
  <c r="AI112" i="1"/>
  <c r="AJ112" i="1" s="1"/>
  <c r="AK112" i="1" s="1"/>
  <c r="AF112" i="1"/>
  <c r="AD112" i="1"/>
  <c r="AC112" i="1"/>
  <c r="AB112" i="1"/>
  <c r="AA112" i="1"/>
  <c r="Z112" i="1"/>
  <c r="Q112" i="1"/>
  <c r="AL111" i="1"/>
  <c r="AM111" i="1" s="1"/>
  <c r="AI111" i="1"/>
  <c r="AJ111" i="1" s="1"/>
  <c r="AK111" i="1" s="1"/>
  <c r="AF111" i="1"/>
  <c r="AD111" i="1"/>
  <c r="AC111" i="1"/>
  <c r="AB111" i="1"/>
  <c r="AA111" i="1"/>
  <c r="Z111" i="1"/>
  <c r="Q111" i="1"/>
  <c r="AL110" i="1"/>
  <c r="AM110" i="1" s="1"/>
  <c r="AF110" i="1"/>
  <c r="AD110" i="1"/>
  <c r="AI110" i="1" s="1"/>
  <c r="AJ110" i="1" s="1"/>
  <c r="AK110" i="1" s="1"/>
  <c r="AC110" i="1"/>
  <c r="AB110" i="1"/>
  <c r="AA110" i="1"/>
  <c r="Z110" i="1"/>
  <c r="Q110" i="1"/>
  <c r="AM109" i="1"/>
  <c r="AN109" i="1" s="1"/>
  <c r="AL109" i="1"/>
  <c r="AI109" i="1"/>
  <c r="AJ109" i="1" s="1"/>
  <c r="AK109" i="1" s="1"/>
  <c r="AF109" i="1"/>
  <c r="AD109" i="1"/>
  <c r="AC109" i="1"/>
  <c r="AB109" i="1"/>
  <c r="AA109" i="1"/>
  <c r="Z109" i="1"/>
  <c r="Q109" i="1"/>
  <c r="AO108" i="1"/>
  <c r="AM108" i="1"/>
  <c r="AJ108" i="1"/>
  <c r="AF108" i="1"/>
  <c r="AD108" i="1"/>
  <c r="AI108" i="1" s="1"/>
  <c r="AC108" i="1"/>
  <c r="AB108" i="1"/>
  <c r="AA108" i="1"/>
  <c r="Z108" i="1"/>
  <c r="Q108" i="1"/>
  <c r="AF107" i="1"/>
  <c r="AD107" i="1"/>
  <c r="AL107" i="1" s="1"/>
  <c r="AM107" i="1" s="1"/>
  <c r="AC107" i="1"/>
  <c r="AB107" i="1"/>
  <c r="AA107" i="1"/>
  <c r="Z107" i="1"/>
  <c r="Q107" i="1"/>
  <c r="AF106" i="1"/>
  <c r="AD106" i="1"/>
  <c r="AL106" i="1" s="1"/>
  <c r="AM106" i="1" s="1"/>
  <c r="AN106" i="1" s="1"/>
  <c r="AC106" i="1"/>
  <c r="AB106" i="1"/>
  <c r="AA106" i="1"/>
  <c r="Z106" i="1"/>
  <c r="Q106" i="1"/>
  <c r="AL105" i="1"/>
  <c r="AM105" i="1" s="1"/>
  <c r="AF105" i="1"/>
  <c r="AD105" i="1"/>
  <c r="AI105" i="1" s="1"/>
  <c r="AJ105" i="1" s="1"/>
  <c r="AK105" i="1" s="1"/>
  <c r="AC105" i="1"/>
  <c r="AB105" i="1"/>
  <c r="AA105" i="1"/>
  <c r="Z105" i="1"/>
  <c r="Q105" i="1"/>
  <c r="AF104" i="1"/>
  <c r="AD104" i="1"/>
  <c r="AI104" i="1" s="1"/>
  <c r="AJ104" i="1" s="1"/>
  <c r="AC104" i="1"/>
  <c r="AB104" i="1"/>
  <c r="AA104" i="1"/>
  <c r="Z104" i="1"/>
  <c r="Q104" i="1"/>
  <c r="AL103" i="1"/>
  <c r="AM103" i="1" s="1"/>
  <c r="AI103" i="1"/>
  <c r="AJ103" i="1" s="1"/>
  <c r="AK103" i="1" s="1"/>
  <c r="AF103" i="1"/>
  <c r="AD103" i="1"/>
  <c r="AC103" i="1"/>
  <c r="AB103" i="1"/>
  <c r="AA103" i="1"/>
  <c r="Z103" i="1"/>
  <c r="Q103" i="1"/>
  <c r="AM102" i="1"/>
  <c r="AO102" i="1" s="1"/>
  <c r="AK102" i="1"/>
  <c r="AJ102" i="1"/>
  <c r="AF102" i="1"/>
  <c r="AD102" i="1"/>
  <c r="AC102" i="1"/>
  <c r="AB102" i="1"/>
  <c r="AA102" i="1"/>
  <c r="Z102" i="1"/>
  <c r="Q102" i="1"/>
  <c r="AF101" i="1"/>
  <c r="AD101" i="1"/>
  <c r="AC101" i="1"/>
  <c r="AB101" i="1"/>
  <c r="AA101" i="1"/>
  <c r="Z101" i="1"/>
  <c r="Q101" i="1"/>
  <c r="AM100" i="1"/>
  <c r="AJ100" i="1"/>
  <c r="AK100" i="1" s="1"/>
  <c r="AF100" i="1"/>
  <c r="AD100" i="1"/>
  <c r="AC100" i="1"/>
  <c r="AB100" i="1"/>
  <c r="AA100" i="1"/>
  <c r="Z100" i="1"/>
  <c r="Q100" i="1"/>
  <c r="AN100" i="1" s="1"/>
  <c r="AM99" i="1"/>
  <c r="AJ99" i="1"/>
  <c r="AK99" i="1" s="1"/>
  <c r="AF99" i="1"/>
  <c r="AD99" i="1"/>
  <c r="AC99" i="1"/>
  <c r="AB99" i="1"/>
  <c r="AA99" i="1"/>
  <c r="Z99" i="1"/>
  <c r="Q99" i="1"/>
  <c r="AM98" i="1"/>
  <c r="AN98" i="1" s="1"/>
  <c r="AJ98" i="1"/>
  <c r="AK98" i="1" s="1"/>
  <c r="AF98" i="1"/>
  <c r="AD98" i="1"/>
  <c r="AL98" i="1" s="1"/>
  <c r="AC98" i="1"/>
  <c r="AB98" i="1"/>
  <c r="AA98" i="1"/>
  <c r="Z98" i="1"/>
  <c r="Q98" i="1"/>
  <c r="AL97" i="1"/>
  <c r="AM97" i="1" s="1"/>
  <c r="AI97" i="1"/>
  <c r="AJ97" i="1" s="1"/>
  <c r="AK97" i="1" s="1"/>
  <c r="AF97" i="1"/>
  <c r="AD97" i="1"/>
  <c r="AC97" i="1"/>
  <c r="AB97" i="1"/>
  <c r="AA97" i="1"/>
  <c r="Z97" i="1"/>
  <c r="Q97" i="1"/>
  <c r="AL96" i="1"/>
  <c r="AM96" i="1" s="1"/>
  <c r="AK96" i="1"/>
  <c r="AF96" i="1"/>
  <c r="AD96" i="1"/>
  <c r="AI96" i="1" s="1"/>
  <c r="AJ96" i="1" s="1"/>
  <c r="AC96" i="1"/>
  <c r="AB96" i="1"/>
  <c r="AA96" i="1"/>
  <c r="Z96" i="1"/>
  <c r="Q96" i="1"/>
  <c r="AF95" i="1"/>
  <c r="AD95" i="1"/>
  <c r="AL95" i="1" s="1"/>
  <c r="AM95" i="1" s="1"/>
  <c r="AC95" i="1"/>
  <c r="AB95" i="1"/>
  <c r="AA95" i="1"/>
  <c r="Z95" i="1"/>
  <c r="Q95" i="1"/>
  <c r="AM94" i="1"/>
  <c r="AJ94" i="1"/>
  <c r="AO94" i="1" s="1"/>
  <c r="AF94" i="1"/>
  <c r="AD94" i="1"/>
  <c r="AL94" i="1" s="1"/>
  <c r="AC94" i="1"/>
  <c r="AB94" i="1"/>
  <c r="AA94" i="1"/>
  <c r="Z94" i="1"/>
  <c r="Q94" i="1"/>
  <c r="AN94" i="1" s="1"/>
  <c r="AF93" i="1"/>
  <c r="AD93" i="1"/>
  <c r="AL93" i="1" s="1"/>
  <c r="AM93" i="1" s="1"/>
  <c r="AC93" i="1"/>
  <c r="AB93" i="1"/>
  <c r="AA93" i="1"/>
  <c r="Z93" i="1"/>
  <c r="Q93" i="1"/>
  <c r="AM92" i="1"/>
  <c r="AL92" i="1"/>
  <c r="AI92" i="1"/>
  <c r="AJ92" i="1" s="1"/>
  <c r="AK92" i="1" s="1"/>
  <c r="AF92" i="1"/>
  <c r="AD92" i="1"/>
  <c r="AC92" i="1"/>
  <c r="AB92" i="1"/>
  <c r="AA92" i="1"/>
  <c r="Z92" i="1"/>
  <c r="Q92" i="1"/>
  <c r="AN92" i="1" s="1"/>
  <c r="AL91" i="1"/>
  <c r="AM91" i="1" s="1"/>
  <c r="AK91" i="1"/>
  <c r="AJ91" i="1"/>
  <c r="AI91" i="1"/>
  <c r="AF91" i="1"/>
  <c r="AD91" i="1"/>
  <c r="AC91" i="1"/>
  <c r="AB91" i="1"/>
  <c r="AA91" i="1"/>
  <c r="Z91" i="1"/>
  <c r="Q91" i="1"/>
  <c r="AM90" i="1"/>
  <c r="AO90" i="1" s="1"/>
  <c r="AL90" i="1"/>
  <c r="AF90" i="1"/>
  <c r="AD90" i="1"/>
  <c r="AI90" i="1" s="1"/>
  <c r="AJ90" i="1" s="1"/>
  <c r="AK90" i="1" s="1"/>
  <c r="AC90" i="1"/>
  <c r="AB90" i="1"/>
  <c r="AA90" i="1"/>
  <c r="Z90" i="1"/>
  <c r="Q90" i="1"/>
  <c r="AM89" i="1"/>
  <c r="AN89" i="1" s="1"/>
  <c r="AJ89" i="1"/>
  <c r="AF89" i="1"/>
  <c r="AD89" i="1"/>
  <c r="AL89" i="1" s="1"/>
  <c r="AC89" i="1"/>
  <c r="AB89" i="1"/>
  <c r="AA89" i="1"/>
  <c r="Z89" i="1"/>
  <c r="Q89" i="1"/>
  <c r="AJ88" i="1"/>
  <c r="AK88" i="1" s="1"/>
  <c r="AI88" i="1"/>
  <c r="AF88" i="1"/>
  <c r="AD88" i="1"/>
  <c r="AC88" i="1"/>
  <c r="AB88" i="1"/>
  <c r="AA88" i="1"/>
  <c r="Z88" i="1"/>
  <c r="Q88" i="1"/>
  <c r="AM87" i="1"/>
  <c r="AL87" i="1"/>
  <c r="AJ87" i="1"/>
  <c r="AK87" i="1" s="1"/>
  <c r="AI87" i="1"/>
  <c r="AF87" i="1"/>
  <c r="AD87" i="1"/>
  <c r="AC87" i="1"/>
  <c r="AB87" i="1"/>
  <c r="AA87" i="1"/>
  <c r="Z87" i="1"/>
  <c r="Q87" i="1"/>
  <c r="AO86" i="1"/>
  <c r="AM86" i="1"/>
  <c r="AL86" i="1"/>
  <c r="AJ86" i="1"/>
  <c r="AF86" i="1"/>
  <c r="AD86" i="1"/>
  <c r="AI86" i="1" s="1"/>
  <c r="AC86" i="1"/>
  <c r="AB86" i="1"/>
  <c r="AA86" i="1"/>
  <c r="Z86" i="1"/>
  <c r="Q86" i="1"/>
  <c r="AK86" i="1" s="1"/>
  <c r="AO85" i="1"/>
  <c r="AM85" i="1"/>
  <c r="AL85" i="1"/>
  <c r="AJ85" i="1"/>
  <c r="AK85" i="1" s="1"/>
  <c r="AI85" i="1"/>
  <c r="AF85" i="1"/>
  <c r="AD85" i="1"/>
  <c r="AC85" i="1"/>
  <c r="AB85" i="1"/>
  <c r="AA85" i="1"/>
  <c r="Z85" i="1"/>
  <c r="Q85" i="1"/>
  <c r="AN85" i="1" s="1"/>
  <c r="AO84" i="1"/>
  <c r="AM84" i="1"/>
  <c r="AK84" i="1"/>
  <c r="AJ84" i="1"/>
  <c r="AF84" i="1"/>
  <c r="AD84" i="1"/>
  <c r="AC84" i="1"/>
  <c r="AB84" i="1"/>
  <c r="AA84" i="1"/>
  <c r="Z84" i="1"/>
  <c r="Q84" i="1"/>
  <c r="AN84" i="1" s="1"/>
  <c r="AF83" i="1"/>
  <c r="AD83" i="1"/>
  <c r="AC83" i="1"/>
  <c r="AB83" i="1"/>
  <c r="AA83" i="1"/>
  <c r="Z83" i="1"/>
  <c r="Q83" i="1"/>
  <c r="AO82" i="1"/>
  <c r="AM82" i="1"/>
  <c r="AJ82" i="1"/>
  <c r="AK82" i="1" s="1"/>
  <c r="AF82" i="1"/>
  <c r="AD82" i="1"/>
  <c r="AC82" i="1"/>
  <c r="AB82" i="1"/>
  <c r="AA82" i="1"/>
  <c r="Z82" i="1"/>
  <c r="Q82" i="1"/>
  <c r="AN82" i="1" s="1"/>
  <c r="AF81" i="1"/>
  <c r="AD81" i="1"/>
  <c r="AC81" i="1"/>
  <c r="AB81" i="1"/>
  <c r="AA81" i="1"/>
  <c r="Z81" i="1"/>
  <c r="Q81" i="1"/>
  <c r="AI80" i="1"/>
  <c r="AJ80" i="1" s="1"/>
  <c r="AK80" i="1" s="1"/>
  <c r="AF80" i="1"/>
  <c r="AD80" i="1"/>
  <c r="AC80" i="1"/>
  <c r="AB80" i="1"/>
  <c r="AA80" i="1"/>
  <c r="Z80" i="1"/>
  <c r="Q80" i="1"/>
  <c r="AM79" i="1"/>
  <c r="AN79" i="1" s="1"/>
  <c r="AL79" i="1"/>
  <c r="AJ79" i="1"/>
  <c r="AK79" i="1" s="1"/>
  <c r="AI79" i="1"/>
  <c r="AF79" i="1"/>
  <c r="AD79" i="1"/>
  <c r="AC79" i="1"/>
  <c r="AB79" i="1"/>
  <c r="AA79" i="1"/>
  <c r="Z79" i="1"/>
  <c r="Q79" i="1"/>
  <c r="AL78" i="1"/>
  <c r="AM78" i="1" s="1"/>
  <c r="AK78" i="1"/>
  <c r="AF78" i="1"/>
  <c r="AD78" i="1"/>
  <c r="AI78" i="1" s="1"/>
  <c r="AJ78" i="1" s="1"/>
  <c r="AC78" i="1"/>
  <c r="AB78" i="1"/>
  <c r="AA78" i="1"/>
  <c r="Z78" i="1"/>
  <c r="Q78" i="1"/>
  <c r="AF77" i="1"/>
  <c r="AD77" i="1"/>
  <c r="AL77" i="1" s="1"/>
  <c r="AM77" i="1" s="1"/>
  <c r="AC77" i="1"/>
  <c r="AB77" i="1"/>
  <c r="AA77" i="1"/>
  <c r="Z77" i="1"/>
  <c r="Q77" i="1"/>
  <c r="AM76" i="1"/>
  <c r="AJ76" i="1"/>
  <c r="AF76" i="1"/>
  <c r="AD76" i="1"/>
  <c r="AL76" i="1" s="1"/>
  <c r="AC76" i="1"/>
  <c r="AB76" i="1"/>
  <c r="AA76" i="1"/>
  <c r="Z76" i="1"/>
  <c r="Q76" i="1"/>
  <c r="AN76" i="1" s="1"/>
  <c r="AF75" i="1"/>
  <c r="AD75" i="1"/>
  <c r="AL75" i="1" s="1"/>
  <c r="AM75" i="1" s="1"/>
  <c r="AC75" i="1"/>
  <c r="AB75" i="1"/>
  <c r="AA75" i="1"/>
  <c r="Z75" i="1"/>
  <c r="Q75" i="1"/>
  <c r="AL74" i="1"/>
  <c r="AM74" i="1" s="1"/>
  <c r="AF74" i="1"/>
  <c r="AD74" i="1"/>
  <c r="AI74" i="1" s="1"/>
  <c r="AJ74" i="1" s="1"/>
  <c r="AK74" i="1" s="1"/>
  <c r="AC74" i="1"/>
  <c r="AB74" i="1"/>
  <c r="AA74" i="1"/>
  <c r="Z74" i="1"/>
  <c r="Q74" i="1"/>
  <c r="AL73" i="1"/>
  <c r="AM73" i="1" s="1"/>
  <c r="AJ73" i="1"/>
  <c r="AI73" i="1"/>
  <c r="AF73" i="1"/>
  <c r="AD73" i="1"/>
  <c r="AC73" i="1"/>
  <c r="AB73" i="1"/>
  <c r="AA73" i="1"/>
  <c r="Z73" i="1"/>
  <c r="Q73" i="1"/>
  <c r="AK73" i="1" s="1"/>
  <c r="AO72" i="1"/>
  <c r="AN72" i="1"/>
  <c r="AL72" i="1"/>
  <c r="AI72" i="1"/>
  <c r="AF72" i="1"/>
  <c r="AD72" i="1"/>
  <c r="AC72" i="1"/>
  <c r="AB72" i="1"/>
  <c r="AA72" i="1"/>
  <c r="Z72" i="1"/>
  <c r="Q72" i="1"/>
  <c r="AK72" i="1" s="1"/>
  <c r="AO71" i="1"/>
  <c r="AN71" i="1"/>
  <c r="AM71" i="1"/>
  <c r="AL71" i="1"/>
  <c r="AJ71" i="1"/>
  <c r="AF71" i="1"/>
  <c r="AD71" i="1"/>
  <c r="AI71" i="1" s="1"/>
  <c r="AC71" i="1"/>
  <c r="AB71" i="1"/>
  <c r="AA71" i="1"/>
  <c r="Z71" i="1"/>
  <c r="Q71" i="1"/>
  <c r="AK71" i="1" s="1"/>
  <c r="AI70" i="1"/>
  <c r="AJ70" i="1" s="1"/>
  <c r="AF70" i="1"/>
  <c r="AD70" i="1"/>
  <c r="AC70" i="1"/>
  <c r="AB70" i="1"/>
  <c r="AA70" i="1"/>
  <c r="Z70" i="1"/>
  <c r="Q70" i="1"/>
  <c r="AK69" i="1"/>
  <c r="AJ69" i="1"/>
  <c r="AI69" i="1"/>
  <c r="AF69" i="1"/>
  <c r="AD69" i="1"/>
  <c r="AC69" i="1"/>
  <c r="AB69" i="1"/>
  <c r="AA69" i="1"/>
  <c r="Z69" i="1"/>
  <c r="Q69" i="1"/>
  <c r="AM68" i="1"/>
  <c r="AL68" i="1"/>
  <c r="AK68" i="1"/>
  <c r="AJ68" i="1"/>
  <c r="AI68" i="1"/>
  <c r="AF68" i="1"/>
  <c r="AD68" i="1"/>
  <c r="AC68" i="1"/>
  <c r="AB68" i="1"/>
  <c r="AA68" i="1"/>
  <c r="Z68" i="1"/>
  <c r="Q68" i="1"/>
  <c r="AM67" i="1"/>
  <c r="AO67" i="1" s="1"/>
  <c r="AL67" i="1"/>
  <c r="AJ67" i="1"/>
  <c r="AI67" i="1"/>
  <c r="AF67" i="1"/>
  <c r="AD67" i="1"/>
  <c r="AC67" i="1"/>
  <c r="AB67" i="1"/>
  <c r="AA67" i="1"/>
  <c r="Z67" i="1"/>
  <c r="Q67" i="1"/>
  <c r="AK67" i="1" s="1"/>
  <c r="AO66" i="1"/>
  <c r="AM66" i="1"/>
  <c r="AL66" i="1"/>
  <c r="AJ66" i="1"/>
  <c r="AI66" i="1"/>
  <c r="AF66" i="1"/>
  <c r="AD66" i="1"/>
  <c r="AC66" i="1"/>
  <c r="AB66" i="1"/>
  <c r="AA66" i="1"/>
  <c r="Z66" i="1"/>
  <c r="Q66" i="1"/>
  <c r="AK66" i="1" s="1"/>
  <c r="AF65" i="1"/>
  <c r="AD65" i="1"/>
  <c r="AI65" i="1" s="1"/>
  <c r="AJ65" i="1" s="1"/>
  <c r="AC65" i="1"/>
  <c r="AB65" i="1"/>
  <c r="AA65" i="1"/>
  <c r="Z65" i="1"/>
  <c r="Q65" i="1"/>
  <c r="AN64" i="1"/>
  <c r="AM64" i="1"/>
  <c r="AF64" i="1"/>
  <c r="AD64" i="1"/>
  <c r="AL64" i="1" s="1"/>
  <c r="AC64" i="1"/>
  <c r="AB64" i="1"/>
  <c r="AA64" i="1"/>
  <c r="Z64" i="1"/>
  <c r="Q64" i="1"/>
  <c r="AO63" i="1"/>
  <c r="AM63" i="1"/>
  <c r="AK63" i="1"/>
  <c r="AJ63" i="1"/>
  <c r="AF63" i="1"/>
  <c r="AD63" i="1"/>
  <c r="AL63" i="1" s="1"/>
  <c r="AC63" i="1"/>
  <c r="AB63" i="1"/>
  <c r="AA63" i="1"/>
  <c r="Z63" i="1"/>
  <c r="Q63" i="1"/>
  <c r="AN63" i="1" s="1"/>
  <c r="AM62" i="1"/>
  <c r="AL62" i="1"/>
  <c r="AK62" i="1"/>
  <c r="AJ62" i="1"/>
  <c r="AF62" i="1"/>
  <c r="AD62" i="1"/>
  <c r="AI62" i="1" s="1"/>
  <c r="AC62" i="1"/>
  <c r="AB62" i="1"/>
  <c r="AA62" i="1"/>
  <c r="Z62" i="1"/>
  <c r="Q62" i="1"/>
  <c r="AM61" i="1"/>
  <c r="AO61" i="1" s="1"/>
  <c r="AJ61" i="1"/>
  <c r="AF61" i="1"/>
  <c r="AD61" i="1"/>
  <c r="AL61" i="1" s="1"/>
  <c r="AC61" i="1"/>
  <c r="AB61" i="1"/>
  <c r="AA61" i="1"/>
  <c r="Z61" i="1"/>
  <c r="Q61" i="1"/>
  <c r="AK61" i="1" s="1"/>
  <c r="AM60" i="1"/>
  <c r="AL60" i="1"/>
  <c r="AI60" i="1"/>
  <c r="AJ60" i="1" s="1"/>
  <c r="AK60" i="1" s="1"/>
  <c r="AF60" i="1"/>
  <c r="AD60" i="1"/>
  <c r="AC60" i="1"/>
  <c r="AB60" i="1"/>
  <c r="AA60" i="1"/>
  <c r="Z60" i="1"/>
  <c r="Q60" i="1"/>
  <c r="AN60" i="1" s="1"/>
  <c r="AF59" i="1"/>
  <c r="AD59" i="1"/>
  <c r="AC59" i="1"/>
  <c r="AB59" i="1"/>
  <c r="AA59" i="1"/>
  <c r="Z59" i="1"/>
  <c r="Q59" i="1"/>
  <c r="AF58" i="1"/>
  <c r="AD58" i="1"/>
  <c r="AC58" i="1"/>
  <c r="AB58" i="1"/>
  <c r="AA58" i="1"/>
  <c r="Z58" i="1"/>
  <c r="Q58" i="1"/>
  <c r="AF57" i="1"/>
  <c r="AD57" i="1"/>
  <c r="AL57" i="1" s="1"/>
  <c r="AM57" i="1" s="1"/>
  <c r="AN57" i="1" s="1"/>
  <c r="AC57" i="1"/>
  <c r="AB57" i="1"/>
  <c r="AA57" i="1"/>
  <c r="Z57" i="1"/>
  <c r="Q57" i="1"/>
  <c r="AM56" i="1"/>
  <c r="AF56" i="1"/>
  <c r="AD56" i="1"/>
  <c r="AL56" i="1" s="1"/>
  <c r="AC56" i="1"/>
  <c r="AB56" i="1"/>
  <c r="AA56" i="1"/>
  <c r="Z56" i="1"/>
  <c r="Q56" i="1"/>
  <c r="AF55" i="1"/>
  <c r="AD55" i="1"/>
  <c r="AC55" i="1"/>
  <c r="AB55" i="1"/>
  <c r="AA55" i="1"/>
  <c r="Z55" i="1"/>
  <c r="Q55" i="1"/>
  <c r="AL54" i="1"/>
  <c r="AM54" i="1" s="1"/>
  <c r="AI54" i="1"/>
  <c r="AJ54" i="1" s="1"/>
  <c r="AK54" i="1" s="1"/>
  <c r="AF54" i="1"/>
  <c r="AD54" i="1"/>
  <c r="AC54" i="1"/>
  <c r="AB54" i="1"/>
  <c r="AA54" i="1"/>
  <c r="Z54" i="1"/>
  <c r="Q54" i="1"/>
  <c r="AF53" i="1"/>
  <c r="AD53" i="1"/>
  <c r="AI53" i="1" s="1"/>
  <c r="AJ53" i="1" s="1"/>
  <c r="AK53" i="1" s="1"/>
  <c r="AC53" i="1"/>
  <c r="AB53" i="1"/>
  <c r="AA53" i="1"/>
  <c r="Z53" i="1"/>
  <c r="Q53" i="1"/>
  <c r="AI52" i="1"/>
  <c r="AJ52" i="1" s="1"/>
  <c r="AK52" i="1" s="1"/>
  <c r="AF52" i="1"/>
  <c r="AD52" i="1"/>
  <c r="AC52" i="1"/>
  <c r="AB52" i="1"/>
  <c r="AA52" i="1"/>
  <c r="Z52" i="1"/>
  <c r="Q52" i="1"/>
  <c r="AF51" i="1"/>
  <c r="AD51" i="1"/>
  <c r="AC51" i="1"/>
  <c r="AB51" i="1"/>
  <c r="AA51" i="1"/>
  <c r="Z51" i="1"/>
  <c r="Q51" i="1"/>
  <c r="AF50" i="1"/>
  <c r="AD50" i="1"/>
  <c r="AC50" i="1"/>
  <c r="AB50" i="1"/>
  <c r="AA50" i="1"/>
  <c r="Z50" i="1"/>
  <c r="Q50" i="1"/>
  <c r="AM49" i="1"/>
  <c r="AJ49" i="1"/>
  <c r="AK49" i="1" s="1"/>
  <c r="AI49" i="1"/>
  <c r="AF49" i="1"/>
  <c r="AD49" i="1"/>
  <c r="AC49" i="1"/>
  <c r="AB49" i="1"/>
  <c r="AA49" i="1"/>
  <c r="Z49" i="1"/>
  <c r="Q49" i="1"/>
  <c r="AM48" i="1"/>
  <c r="AL48" i="1"/>
  <c r="AJ48" i="1"/>
  <c r="AK48" i="1" s="1"/>
  <c r="AI48" i="1"/>
  <c r="AF48" i="1"/>
  <c r="AD48" i="1"/>
  <c r="AC48" i="1"/>
  <c r="AB48" i="1"/>
  <c r="AA48" i="1"/>
  <c r="Z48" i="1"/>
  <c r="Q48" i="1"/>
  <c r="AL47" i="1"/>
  <c r="AM47" i="1" s="1"/>
  <c r="AJ47" i="1"/>
  <c r="AK47" i="1" s="1"/>
  <c r="AF47" i="1"/>
  <c r="AD47" i="1"/>
  <c r="AI47" i="1" s="1"/>
  <c r="AC47" i="1"/>
  <c r="AB47" i="1"/>
  <c r="AA47" i="1"/>
  <c r="Z47" i="1"/>
  <c r="Q47" i="1"/>
  <c r="AL46" i="1"/>
  <c r="AM46" i="1" s="1"/>
  <c r="AI46" i="1"/>
  <c r="AJ46" i="1" s="1"/>
  <c r="AK46" i="1" s="1"/>
  <c r="AF46" i="1"/>
  <c r="AD46" i="1"/>
  <c r="AC46" i="1"/>
  <c r="AB46" i="1"/>
  <c r="AA46" i="1"/>
  <c r="Z46" i="1"/>
  <c r="Q46" i="1"/>
  <c r="AI45" i="1"/>
  <c r="AJ45" i="1" s="1"/>
  <c r="AK45" i="1" s="1"/>
  <c r="AF45" i="1"/>
  <c r="AD45" i="1"/>
  <c r="AC45" i="1"/>
  <c r="AB45" i="1"/>
  <c r="AA45" i="1"/>
  <c r="Z45" i="1"/>
  <c r="Q45" i="1"/>
  <c r="AL44" i="1"/>
  <c r="AM44" i="1" s="1"/>
  <c r="AI44" i="1"/>
  <c r="AJ44" i="1" s="1"/>
  <c r="AK44" i="1" s="1"/>
  <c r="AF44" i="1"/>
  <c r="AD44" i="1"/>
  <c r="AC44" i="1"/>
  <c r="AB44" i="1"/>
  <c r="AA44" i="1"/>
  <c r="Z44" i="1"/>
  <c r="Q44" i="1"/>
  <c r="AM43" i="1"/>
  <c r="AO43" i="1" s="1"/>
  <c r="AL43" i="1"/>
  <c r="AK43" i="1"/>
  <c r="AJ43" i="1"/>
  <c r="AI43" i="1"/>
  <c r="AF43" i="1"/>
  <c r="AD43" i="1"/>
  <c r="AC43" i="1"/>
  <c r="AB43" i="1"/>
  <c r="AA43" i="1"/>
  <c r="Z43" i="1"/>
  <c r="Q43" i="1"/>
  <c r="AM42" i="1"/>
  <c r="AO42" i="1" s="1"/>
  <c r="AL42" i="1"/>
  <c r="AF42" i="1"/>
  <c r="AI42" i="1" s="1"/>
  <c r="AJ42" i="1" s="1"/>
  <c r="AD42" i="1"/>
  <c r="AC42" i="1"/>
  <c r="AB42" i="1"/>
  <c r="AA42" i="1"/>
  <c r="Z42" i="1"/>
  <c r="Q42" i="1"/>
  <c r="AO41" i="1"/>
  <c r="AN41" i="1"/>
  <c r="AM41" i="1"/>
  <c r="AJ41" i="1"/>
  <c r="AK41" i="1" s="1"/>
  <c r="AF41" i="1"/>
  <c r="AD41" i="1"/>
  <c r="AI41" i="1" s="1"/>
  <c r="AC41" i="1"/>
  <c r="AB41" i="1"/>
  <c r="AA41" i="1"/>
  <c r="Z41" i="1"/>
  <c r="Q41" i="1"/>
  <c r="AF40" i="1"/>
  <c r="AD40" i="1"/>
  <c r="AL40" i="1" s="1"/>
  <c r="AM40" i="1" s="1"/>
  <c r="AN40" i="1" s="1"/>
  <c r="AC40" i="1"/>
  <c r="AB40" i="1"/>
  <c r="AA40" i="1"/>
  <c r="Z40" i="1"/>
  <c r="Q40" i="1"/>
  <c r="AF39" i="1"/>
  <c r="AD39" i="1"/>
  <c r="AL39" i="1" s="1"/>
  <c r="AM39" i="1" s="1"/>
  <c r="AC39" i="1"/>
  <c r="AB39" i="1"/>
  <c r="AA39" i="1"/>
  <c r="Z39" i="1"/>
  <c r="Q39" i="1"/>
  <c r="AM38" i="1"/>
  <c r="AK38" i="1"/>
  <c r="AJ38" i="1"/>
  <c r="AF38" i="1"/>
  <c r="AD38" i="1"/>
  <c r="AL38" i="1" s="1"/>
  <c r="AC38" i="1"/>
  <c r="AB38" i="1"/>
  <c r="AA38" i="1"/>
  <c r="Z38" i="1"/>
  <c r="Q38" i="1"/>
  <c r="AO37" i="1"/>
  <c r="AM37" i="1"/>
  <c r="AJ37" i="1"/>
  <c r="AK37" i="1" s="1"/>
  <c r="AF37" i="1"/>
  <c r="AD37" i="1"/>
  <c r="AC37" i="1"/>
  <c r="AB37" i="1"/>
  <c r="AA37" i="1"/>
  <c r="Z37" i="1"/>
  <c r="Q37" i="1"/>
  <c r="AN37" i="1" s="1"/>
  <c r="AF36" i="1"/>
  <c r="AL36" i="1" s="1"/>
  <c r="AM36" i="1" s="1"/>
  <c r="AD36" i="1"/>
  <c r="AC36" i="1"/>
  <c r="AB36" i="1"/>
  <c r="AA36" i="1"/>
  <c r="Z36" i="1"/>
  <c r="Q36" i="1"/>
  <c r="AF35" i="1"/>
  <c r="AD35" i="1"/>
  <c r="AI35" i="1" s="1"/>
  <c r="AJ35" i="1" s="1"/>
  <c r="AK35" i="1" s="1"/>
  <c r="AC35" i="1"/>
  <c r="AB35" i="1"/>
  <c r="AA35" i="1"/>
  <c r="Z35" i="1"/>
  <c r="Q35" i="1"/>
  <c r="AF34" i="1"/>
  <c r="AD34" i="1"/>
  <c r="AI34" i="1" s="1"/>
  <c r="AJ34" i="1" s="1"/>
  <c r="AK34" i="1" s="1"/>
  <c r="AC34" i="1"/>
  <c r="AB34" i="1"/>
  <c r="AA34" i="1"/>
  <c r="Z34" i="1"/>
  <c r="Q34" i="1"/>
  <c r="AF33" i="1"/>
  <c r="AD33" i="1"/>
  <c r="AL33" i="1" s="1"/>
  <c r="AM33" i="1" s="1"/>
  <c r="AC33" i="1"/>
  <c r="AB33" i="1"/>
  <c r="AA33" i="1"/>
  <c r="Z33" i="1"/>
  <c r="Q33" i="1"/>
  <c r="AJ32" i="1"/>
  <c r="AK32" i="1" s="1"/>
  <c r="AI32" i="1"/>
  <c r="AF32" i="1"/>
  <c r="AD32" i="1"/>
  <c r="AC32" i="1"/>
  <c r="AB32" i="1"/>
  <c r="AA32" i="1"/>
  <c r="Z32" i="1"/>
  <c r="Q32" i="1"/>
  <c r="AL31" i="1"/>
  <c r="AM31" i="1" s="1"/>
  <c r="AJ31" i="1"/>
  <c r="AK31" i="1" s="1"/>
  <c r="AI31" i="1"/>
  <c r="AF31" i="1"/>
  <c r="AD31" i="1"/>
  <c r="AC31" i="1"/>
  <c r="AB31" i="1"/>
  <c r="AA31" i="1"/>
  <c r="Z31" i="1"/>
  <c r="Q31" i="1"/>
  <c r="AL30" i="1"/>
  <c r="AM30" i="1" s="1"/>
  <c r="AJ30" i="1"/>
  <c r="AI30" i="1"/>
  <c r="AF30" i="1"/>
  <c r="AD30" i="1"/>
  <c r="AC30" i="1"/>
  <c r="AB30" i="1"/>
  <c r="AA30" i="1"/>
  <c r="Z30" i="1"/>
  <c r="Q30" i="1"/>
  <c r="AK30" i="1" s="1"/>
  <c r="AO29" i="1"/>
  <c r="AN29" i="1"/>
  <c r="AM29" i="1"/>
  <c r="AL29" i="1"/>
  <c r="AF29" i="1"/>
  <c r="AD29" i="1"/>
  <c r="AI29" i="1" s="1"/>
  <c r="AJ29" i="1" s="1"/>
  <c r="AC29" i="1"/>
  <c r="AB29" i="1"/>
  <c r="AA29" i="1"/>
  <c r="Z29" i="1"/>
  <c r="Q29" i="1"/>
  <c r="AM28" i="1"/>
  <c r="AN28" i="1" s="1"/>
  <c r="AL28" i="1"/>
  <c r="AF28" i="1"/>
  <c r="AD28" i="1"/>
  <c r="AI28" i="1" s="1"/>
  <c r="AJ28" i="1" s="1"/>
  <c r="AC28" i="1"/>
  <c r="AB28" i="1"/>
  <c r="AA28" i="1"/>
  <c r="Z28" i="1"/>
  <c r="Q28" i="1"/>
  <c r="AN27" i="1"/>
  <c r="AF27" i="1"/>
  <c r="AD27" i="1"/>
  <c r="AL27" i="1" s="1"/>
  <c r="AM27" i="1" s="1"/>
  <c r="AC27" i="1"/>
  <c r="AB27" i="1"/>
  <c r="AA27" i="1"/>
  <c r="Z27" i="1"/>
  <c r="Q27" i="1"/>
  <c r="AL26" i="1"/>
  <c r="AM26" i="1" s="1"/>
  <c r="AF26" i="1"/>
  <c r="AD26" i="1"/>
  <c r="AI26" i="1" s="1"/>
  <c r="AJ26" i="1" s="1"/>
  <c r="AK26" i="1" s="1"/>
  <c r="AC26" i="1"/>
  <c r="AB26" i="1"/>
  <c r="AA26" i="1"/>
  <c r="Z26" i="1"/>
  <c r="Q26" i="1"/>
  <c r="AF25" i="1"/>
  <c r="AD25" i="1"/>
  <c r="AL25" i="1" s="1"/>
  <c r="AM25" i="1" s="1"/>
  <c r="AC25" i="1"/>
  <c r="AB25" i="1"/>
  <c r="AA25" i="1"/>
  <c r="Z25" i="1"/>
  <c r="Q25" i="1"/>
  <c r="AO24" i="1"/>
  <c r="AM24" i="1"/>
  <c r="AJ24" i="1"/>
  <c r="AK24" i="1" s="1"/>
  <c r="AF24" i="1"/>
  <c r="AD24" i="1"/>
  <c r="AC24" i="1"/>
  <c r="AB24" i="1"/>
  <c r="AA24" i="1"/>
  <c r="Z24" i="1"/>
  <c r="Q24" i="1"/>
  <c r="AN24" i="1" s="1"/>
  <c r="AF23" i="1"/>
  <c r="AD23" i="1"/>
  <c r="AC23" i="1"/>
  <c r="AB23" i="1"/>
  <c r="AA23" i="1"/>
  <c r="Z23" i="1"/>
  <c r="Q23" i="1"/>
  <c r="AM22" i="1"/>
  <c r="AO22" i="1" s="1"/>
  <c r="AJ22" i="1"/>
  <c r="AK22" i="1" s="1"/>
  <c r="AF22" i="1"/>
  <c r="AI22" i="1" s="1"/>
  <c r="AD22" i="1"/>
  <c r="AC22" i="1"/>
  <c r="AB22" i="1"/>
  <c r="AA22" i="1"/>
  <c r="Z22" i="1"/>
  <c r="Q22" i="1"/>
  <c r="AF21" i="1"/>
  <c r="AD21" i="1"/>
  <c r="AL21" i="1" s="1"/>
  <c r="AM21" i="1" s="1"/>
  <c r="AC21" i="1"/>
  <c r="AB21" i="1"/>
  <c r="AA21" i="1"/>
  <c r="Z21" i="1"/>
  <c r="Q21" i="1"/>
  <c r="AF20" i="1"/>
  <c r="AD20" i="1"/>
  <c r="AL20" i="1" s="1"/>
  <c r="AM20" i="1" s="1"/>
  <c r="AC20" i="1"/>
  <c r="AB20" i="1"/>
  <c r="AA20" i="1"/>
  <c r="Z20" i="1"/>
  <c r="Q20" i="1"/>
  <c r="AM19" i="1"/>
  <c r="AO19" i="1" s="1"/>
  <c r="AJ19" i="1"/>
  <c r="AK19" i="1" s="1"/>
  <c r="AF19" i="1"/>
  <c r="AD19" i="1"/>
  <c r="AL19" i="1" s="1"/>
  <c r="AC19" i="1"/>
  <c r="AB19" i="1"/>
  <c r="AA19" i="1"/>
  <c r="Z19" i="1"/>
  <c r="Q19" i="1"/>
  <c r="AM18" i="1"/>
  <c r="AL18" i="1"/>
  <c r="AI18" i="1"/>
  <c r="AJ18" i="1" s="1"/>
  <c r="AK18" i="1" s="1"/>
  <c r="AF18" i="1"/>
  <c r="AD18" i="1"/>
  <c r="AC18" i="1"/>
  <c r="AB18" i="1"/>
  <c r="AA18" i="1"/>
  <c r="Z18" i="1"/>
  <c r="Q18" i="1"/>
  <c r="AN18" i="1" s="1"/>
  <c r="AL17" i="1"/>
  <c r="AM17" i="1" s="1"/>
  <c r="AK17" i="1"/>
  <c r="AJ17" i="1"/>
  <c r="AF17" i="1"/>
  <c r="AD17" i="1"/>
  <c r="AI17" i="1" s="1"/>
  <c r="AC17" i="1"/>
  <c r="AB17" i="1"/>
  <c r="AA17" i="1"/>
  <c r="Z17" i="1"/>
  <c r="Q17" i="1"/>
  <c r="AL16" i="1"/>
  <c r="AM16" i="1" s="1"/>
  <c r="AI16" i="1"/>
  <c r="AJ16" i="1" s="1"/>
  <c r="AF16" i="1"/>
  <c r="AD16" i="1"/>
  <c r="AC16" i="1"/>
  <c r="AB16" i="1"/>
  <c r="AA16" i="1"/>
  <c r="Z16" i="1"/>
  <c r="Q16" i="1"/>
  <c r="AJ15" i="1"/>
  <c r="AK15" i="1" s="1"/>
  <c r="AI15" i="1"/>
  <c r="AF15" i="1"/>
  <c r="AD15" i="1"/>
  <c r="AC15" i="1"/>
  <c r="AB15" i="1"/>
  <c r="AA15" i="1"/>
  <c r="Z15" i="1"/>
  <c r="Q15" i="1"/>
  <c r="AL14" i="1"/>
  <c r="AM14" i="1" s="1"/>
  <c r="AJ14" i="1"/>
  <c r="AK14" i="1" s="1"/>
  <c r="AI14" i="1"/>
  <c r="AF14" i="1"/>
  <c r="AD14" i="1"/>
  <c r="AC14" i="1"/>
  <c r="AB14" i="1"/>
  <c r="AA14" i="1"/>
  <c r="Z14" i="1"/>
  <c r="Q14" i="1"/>
  <c r="AM13" i="1"/>
  <c r="AO13" i="1" s="1"/>
  <c r="AL13" i="1"/>
  <c r="AJ13" i="1"/>
  <c r="AF13" i="1"/>
  <c r="AD13" i="1"/>
  <c r="AI13" i="1" s="1"/>
  <c r="AC13" i="1"/>
  <c r="AB13" i="1"/>
  <c r="AA13" i="1"/>
  <c r="Z13" i="1"/>
  <c r="Q13" i="1"/>
  <c r="AK13" i="1" s="1"/>
  <c r="AF12" i="1"/>
  <c r="AL12" i="1" s="1"/>
  <c r="AM12" i="1" s="1"/>
  <c r="AD12" i="1"/>
  <c r="AC12" i="1"/>
  <c r="AB12" i="1"/>
  <c r="AA12" i="1"/>
  <c r="Z12" i="1"/>
  <c r="Q12" i="1"/>
  <c r="AF11" i="1"/>
  <c r="AD11" i="1"/>
  <c r="AC11" i="1"/>
  <c r="AB11" i="1"/>
  <c r="AA11" i="1"/>
  <c r="Z11" i="1"/>
  <c r="Q11" i="1"/>
  <c r="AF10" i="1"/>
  <c r="AD10" i="1"/>
  <c r="AC10" i="1"/>
  <c r="AB10" i="1"/>
  <c r="AA10" i="1"/>
  <c r="Z10" i="1"/>
  <c r="Q10" i="1"/>
  <c r="AF9" i="1"/>
  <c r="AD9" i="1"/>
  <c r="AC9" i="1"/>
  <c r="AB9" i="1"/>
  <c r="AA9" i="1"/>
  <c r="Z9" i="1"/>
  <c r="Q9" i="1"/>
  <c r="AM8" i="1"/>
  <c r="AJ8" i="1"/>
  <c r="AK8" i="1" s="1"/>
  <c r="AF8" i="1"/>
  <c r="AD8" i="1"/>
  <c r="AC8" i="1"/>
  <c r="AB8" i="1"/>
  <c r="AA8" i="1"/>
  <c r="Z8" i="1"/>
  <c r="Q8" i="1"/>
  <c r="AF7" i="1"/>
  <c r="AD7" i="1"/>
  <c r="AL7" i="1" s="1"/>
  <c r="AM7" i="1" s="1"/>
  <c r="AC7" i="1"/>
  <c r="AB7" i="1"/>
  <c r="AA7" i="1"/>
  <c r="Z7" i="1"/>
  <c r="Q7" i="1"/>
  <c r="AF6" i="1"/>
  <c r="AI6" i="1" s="1"/>
  <c r="AJ6" i="1" s="1"/>
  <c r="AK6" i="1" s="1"/>
  <c r="AD6" i="1"/>
  <c r="AC6" i="1"/>
  <c r="AB6" i="1"/>
  <c r="AA6" i="1"/>
  <c r="Z6" i="1"/>
  <c r="Q6" i="1"/>
  <c r="AL5" i="1"/>
  <c r="AM5" i="1" s="1"/>
  <c r="AJ5" i="1"/>
  <c r="AK5" i="1" s="1"/>
  <c r="AF5" i="1"/>
  <c r="AD5" i="1"/>
  <c r="AI5" i="1" s="1"/>
  <c r="AC5" i="1"/>
  <c r="AB5" i="1"/>
  <c r="AA5" i="1"/>
  <c r="Z5" i="1"/>
  <c r="Q5" i="1"/>
  <c r="AF4" i="1"/>
  <c r="AI4" i="1" s="1"/>
  <c r="AJ4" i="1" s="1"/>
  <c r="AK4" i="1" s="1"/>
  <c r="AD4" i="1"/>
  <c r="AC4" i="1"/>
  <c r="AB4" i="1"/>
  <c r="AA4" i="1"/>
  <c r="Z4" i="1"/>
  <c r="Q4" i="1"/>
  <c r="AN156" i="1" l="1"/>
  <c r="AO156" i="1"/>
  <c r="AN161" i="1"/>
  <c r="AO186" i="1"/>
  <c r="AN186" i="1"/>
  <c r="AO105" i="1"/>
  <c r="AN105" i="1"/>
  <c r="AN152" i="1"/>
  <c r="AN185" i="1"/>
  <c r="AO185" i="1"/>
  <c r="AO30" i="1"/>
  <c r="AN30" i="1"/>
  <c r="AO91" i="1"/>
  <c r="AN91" i="1"/>
  <c r="AO115" i="1"/>
  <c r="AN115" i="1"/>
  <c r="AN25" i="1"/>
  <c r="AN149" i="1"/>
  <c r="AO149" i="1"/>
  <c r="AO44" i="1"/>
  <c r="AN44" i="1"/>
  <c r="AO73" i="1"/>
  <c r="AN73" i="1"/>
  <c r="AO111" i="1"/>
  <c r="AN111" i="1"/>
  <c r="AN159" i="1"/>
  <c r="AO159" i="1"/>
  <c r="AN174" i="1"/>
  <c r="AO174" i="1"/>
  <c r="AO97" i="1"/>
  <c r="AN97" i="1"/>
  <c r="AO144" i="1"/>
  <c r="AN144" i="1"/>
  <c r="AO14" i="1"/>
  <c r="AN14" i="1"/>
  <c r="AO47" i="1"/>
  <c r="AN47" i="1"/>
  <c r="AN93" i="1"/>
  <c r="AO5" i="1"/>
  <c r="AN5" i="1"/>
  <c r="AO110" i="1"/>
  <c r="AN110" i="1"/>
  <c r="AO78" i="1"/>
  <c r="AN78" i="1"/>
  <c r="AO96" i="1"/>
  <c r="AN96" i="1"/>
  <c r="AO46" i="1"/>
  <c r="AN46" i="1"/>
  <c r="AO129" i="1"/>
  <c r="AN129" i="1"/>
  <c r="AO17" i="1"/>
  <c r="AN17" i="1"/>
  <c r="AO77" i="1"/>
  <c r="AN77" i="1"/>
  <c r="AN95" i="1"/>
  <c r="AO16" i="1"/>
  <c r="AN16" i="1"/>
  <c r="AO26" i="1"/>
  <c r="AN26" i="1"/>
  <c r="AO31" i="1"/>
  <c r="AN31" i="1"/>
  <c r="AO146" i="1"/>
  <c r="AN146" i="1"/>
  <c r="AN150" i="1"/>
  <c r="AO150" i="1"/>
  <c r="AN176" i="1"/>
  <c r="AO176" i="1"/>
  <c r="AL82" i="1"/>
  <c r="AI82" i="1"/>
  <c r="AL169" i="1"/>
  <c r="AM169" i="1" s="1"/>
  <c r="AI169" i="1"/>
  <c r="AJ169" i="1" s="1"/>
  <c r="AK169" i="1" s="1"/>
  <c r="AN42" i="1"/>
  <c r="AI102" i="1"/>
  <c r="AL102" i="1"/>
  <c r="AL124" i="1"/>
  <c r="AI124" i="1"/>
  <c r="AN173" i="1"/>
  <c r="AN21" i="1"/>
  <c r="AO28" i="1"/>
  <c r="AO36" i="1"/>
  <c r="AN36" i="1"/>
  <c r="AN120" i="1"/>
  <c r="AO175" i="1"/>
  <c r="AN43" i="1"/>
  <c r="AI117" i="1"/>
  <c r="AJ117" i="1" s="1"/>
  <c r="AK117" i="1" s="1"/>
  <c r="AO48" i="1"/>
  <c r="AI77" i="1"/>
  <c r="AJ77" i="1" s="1"/>
  <c r="AK77" i="1" s="1"/>
  <c r="AI98" i="1"/>
  <c r="AN138" i="1"/>
  <c r="AI152" i="1"/>
  <c r="AJ152" i="1" s="1"/>
  <c r="AK152" i="1" s="1"/>
  <c r="AN20" i="1"/>
  <c r="AO62" i="1"/>
  <c r="AN62" i="1"/>
  <c r="AI81" i="1"/>
  <c r="AJ81" i="1" s="1"/>
  <c r="AK81" i="1" s="1"/>
  <c r="AL81" i="1"/>
  <c r="AM81" i="1" s="1"/>
  <c r="AI84" i="1"/>
  <c r="AL84" i="1"/>
  <c r="AL168" i="1"/>
  <c r="AM168" i="1" s="1"/>
  <c r="AI168" i="1"/>
  <c r="AJ168" i="1" s="1"/>
  <c r="AK168" i="1" s="1"/>
  <c r="AN197" i="1"/>
  <c r="AN39" i="1"/>
  <c r="AL101" i="1"/>
  <c r="AM101" i="1" s="1"/>
  <c r="AI101" i="1"/>
  <c r="AJ101" i="1" s="1"/>
  <c r="AK101" i="1" s="1"/>
  <c r="AL123" i="1"/>
  <c r="AM123" i="1" s="1"/>
  <c r="AI123" i="1"/>
  <c r="AJ123" i="1" s="1"/>
  <c r="AK123" i="1" s="1"/>
  <c r="AN158" i="1"/>
  <c r="AL164" i="1"/>
  <c r="AM164" i="1" s="1"/>
  <c r="AI164" i="1"/>
  <c r="AJ164" i="1" s="1"/>
  <c r="AK164" i="1" s="1"/>
  <c r="AO198" i="1"/>
  <c r="AL4" i="1"/>
  <c r="AM4" i="1" s="1"/>
  <c r="AI19" i="1"/>
  <c r="AI20" i="1"/>
  <c r="AJ20" i="1" s="1"/>
  <c r="AK20" i="1" s="1"/>
  <c r="AO33" i="1"/>
  <c r="AN33" i="1"/>
  <c r="AL35" i="1"/>
  <c r="AM35" i="1" s="1"/>
  <c r="AO60" i="1"/>
  <c r="AN90" i="1"/>
  <c r="AI126" i="1"/>
  <c r="AJ126" i="1" s="1"/>
  <c r="AK126" i="1" s="1"/>
  <c r="AL126" i="1"/>
  <c r="AM126" i="1" s="1"/>
  <c r="AI170" i="1"/>
  <c r="AJ170" i="1" s="1"/>
  <c r="AK170" i="1" s="1"/>
  <c r="AL170" i="1"/>
  <c r="AM170" i="1" s="1"/>
  <c r="AK195" i="1"/>
  <c r="AN195" i="1"/>
  <c r="AN12" i="1"/>
  <c r="AN13" i="1"/>
  <c r="AL34" i="1"/>
  <c r="AM34" i="1" s="1"/>
  <c r="AL50" i="1"/>
  <c r="AM50" i="1" s="1"/>
  <c r="AI50" i="1"/>
  <c r="AJ50" i="1" s="1"/>
  <c r="AK50" i="1" s="1"/>
  <c r="AI137" i="1"/>
  <c r="AJ137" i="1" s="1"/>
  <c r="AK137" i="1" s="1"/>
  <c r="AO193" i="1"/>
  <c r="AN193" i="1"/>
  <c r="AL6" i="1"/>
  <c r="AM6" i="1" s="1"/>
  <c r="AL9" i="1"/>
  <c r="AM9" i="1" s="1"/>
  <c r="AI9" i="1"/>
  <c r="AJ9" i="1" s="1"/>
  <c r="AK9" i="1" s="1"/>
  <c r="AI23" i="1"/>
  <c r="AJ23" i="1" s="1"/>
  <c r="AK23" i="1" s="1"/>
  <c r="AL23" i="1"/>
  <c r="AM23" i="1" s="1"/>
  <c r="AK28" i="1"/>
  <c r="AL32" i="1"/>
  <c r="AM32" i="1" s="1"/>
  <c r="AI33" i="1"/>
  <c r="AJ33" i="1" s="1"/>
  <c r="AK33" i="1" s="1"/>
  <c r="AL53" i="1"/>
  <c r="AM53" i="1" s="1"/>
  <c r="AK70" i="1"/>
  <c r="AI75" i="1"/>
  <c r="AJ75" i="1" s="1"/>
  <c r="AK75" i="1" s="1"/>
  <c r="AL80" i="1"/>
  <c r="AM80" i="1" s="1"/>
  <c r="AO89" i="1"/>
  <c r="AL100" i="1"/>
  <c r="AI100" i="1"/>
  <c r="AO109" i="1"/>
  <c r="AN143" i="1"/>
  <c r="AN145" i="1"/>
  <c r="AK147" i="1"/>
  <c r="AL154" i="1"/>
  <c r="AI155" i="1"/>
  <c r="AJ155" i="1" s="1"/>
  <c r="AK155" i="1" s="1"/>
  <c r="AO160" i="1"/>
  <c r="AN160" i="1"/>
  <c r="AI178" i="1"/>
  <c r="AL182" i="1"/>
  <c r="AM182" i="1" s="1"/>
  <c r="AI182" i="1"/>
  <c r="AJ182" i="1" s="1"/>
  <c r="AK182" i="1" s="1"/>
  <c r="AI191" i="1"/>
  <c r="AJ191" i="1" s="1"/>
  <c r="AK191" i="1" s="1"/>
  <c r="AK194" i="1"/>
  <c r="AN194" i="1"/>
  <c r="AO38" i="1"/>
  <c r="AN38" i="1"/>
  <c r="AO136" i="1"/>
  <c r="AN136" i="1"/>
  <c r="AO154" i="1"/>
  <c r="AK154" i="1"/>
  <c r="AN67" i="1"/>
  <c r="AO74" i="1"/>
  <c r="AN74" i="1"/>
  <c r="AO117" i="1"/>
  <c r="AN117" i="1"/>
  <c r="AO68" i="1"/>
  <c r="AN68" i="1"/>
  <c r="AI153" i="1"/>
  <c r="AJ153" i="1" s="1"/>
  <c r="AK153" i="1" s="1"/>
  <c r="AN171" i="1"/>
  <c r="AI188" i="1"/>
  <c r="AI189" i="1"/>
  <c r="AO7" i="1"/>
  <c r="AN7" i="1"/>
  <c r="AL51" i="1"/>
  <c r="AM51" i="1" s="1"/>
  <c r="AI51" i="1"/>
  <c r="AJ51" i="1" s="1"/>
  <c r="AK51" i="1" s="1"/>
  <c r="AO166" i="1"/>
  <c r="AN166" i="1"/>
  <c r="AN175" i="1"/>
  <c r="AI187" i="1"/>
  <c r="AI21" i="1"/>
  <c r="AJ21" i="1" s="1"/>
  <c r="AK21" i="1" s="1"/>
  <c r="AO40" i="1"/>
  <c r="AI171" i="1"/>
  <c r="AJ171" i="1" s="1"/>
  <c r="AK171" i="1" s="1"/>
  <c r="AL183" i="1"/>
  <c r="AM183" i="1" s="1"/>
  <c r="AI183" i="1"/>
  <c r="AJ183" i="1" s="1"/>
  <c r="AK183" i="1" s="1"/>
  <c r="AK188" i="1"/>
  <c r="AN61" i="1"/>
  <c r="AI95" i="1"/>
  <c r="AJ95" i="1" s="1"/>
  <c r="AK95" i="1" s="1"/>
  <c r="AI161" i="1"/>
  <c r="AJ161" i="1" s="1"/>
  <c r="AK161" i="1" s="1"/>
  <c r="AL24" i="1"/>
  <c r="AI24" i="1"/>
  <c r="AI76" i="1"/>
  <c r="AI94" i="1"/>
  <c r="AO137" i="1"/>
  <c r="AN137" i="1"/>
  <c r="AI138" i="1"/>
  <c r="AJ138" i="1" s="1"/>
  <c r="AK138" i="1" s="1"/>
  <c r="AO54" i="1"/>
  <c r="AN54" i="1"/>
  <c r="AI59" i="1"/>
  <c r="AJ59" i="1" s="1"/>
  <c r="AK59" i="1" s="1"/>
  <c r="AL59" i="1"/>
  <c r="AM59" i="1" s="1"/>
  <c r="AO75" i="1"/>
  <c r="AN75" i="1"/>
  <c r="AO76" i="1"/>
  <c r="AK76" i="1"/>
  <c r="AI93" i="1"/>
  <c r="AJ93" i="1" s="1"/>
  <c r="AK93" i="1" s="1"/>
  <c r="AO116" i="1"/>
  <c r="AN116" i="1"/>
  <c r="AN198" i="1"/>
  <c r="AK29" i="1"/>
  <c r="AK65" i="1"/>
  <c r="AK94" i="1"/>
  <c r="AK104" i="1"/>
  <c r="AO191" i="1"/>
  <c r="AN191" i="1"/>
  <c r="AO18" i="1"/>
  <c r="AI37" i="1"/>
  <c r="AL37" i="1"/>
  <c r="AK42" i="1"/>
  <c r="AL49" i="1"/>
  <c r="AL52" i="1"/>
  <c r="AM52" i="1" s="1"/>
  <c r="AL83" i="1"/>
  <c r="AM83" i="1" s="1"/>
  <c r="AI83" i="1"/>
  <c r="AJ83" i="1" s="1"/>
  <c r="AK83" i="1" s="1"/>
  <c r="AN86" i="1"/>
  <c r="AO92" i="1"/>
  <c r="AO107" i="1"/>
  <c r="AN107" i="1"/>
  <c r="AI122" i="1"/>
  <c r="AL125" i="1"/>
  <c r="AI125" i="1"/>
  <c r="AN133" i="1"/>
  <c r="AN155" i="1"/>
  <c r="AO167" i="1"/>
  <c r="AN167" i="1"/>
  <c r="AI190" i="1"/>
  <c r="AJ190" i="1" s="1"/>
  <c r="AK190" i="1" s="1"/>
  <c r="AL190" i="1"/>
  <c r="AM190" i="1" s="1"/>
  <c r="AI8" i="1"/>
  <c r="AL8" i="1"/>
  <c r="AL58" i="1"/>
  <c r="AM58" i="1" s="1"/>
  <c r="AI58" i="1"/>
  <c r="AJ58" i="1" s="1"/>
  <c r="AK58" i="1" s="1"/>
  <c r="AI99" i="1"/>
  <c r="AL99" i="1"/>
  <c r="AN108" i="1"/>
  <c r="AK108" i="1"/>
  <c r="AN153" i="1"/>
  <c r="AL55" i="1"/>
  <c r="AM55" i="1" s="1"/>
  <c r="AI55" i="1"/>
  <c r="AJ55" i="1" s="1"/>
  <c r="AK55" i="1" s="1"/>
  <c r="AO49" i="1"/>
  <c r="AO103" i="1"/>
  <c r="AN103" i="1"/>
  <c r="AI36" i="1"/>
  <c r="AJ36" i="1" s="1"/>
  <c r="AK36" i="1" s="1"/>
  <c r="AL165" i="1"/>
  <c r="AM165" i="1" s="1"/>
  <c r="AI10" i="1"/>
  <c r="AJ10" i="1" s="1"/>
  <c r="AK10" i="1" s="1"/>
  <c r="AL10" i="1"/>
  <c r="AM10" i="1" s="1"/>
  <c r="AI7" i="1"/>
  <c r="AJ7" i="1" s="1"/>
  <c r="AK7" i="1" s="1"/>
  <c r="AI11" i="1"/>
  <c r="AJ11" i="1" s="1"/>
  <c r="AK11" i="1" s="1"/>
  <c r="AL11" i="1"/>
  <c r="AM11" i="1" s="1"/>
  <c r="AL22" i="1"/>
  <c r="AN56" i="1"/>
  <c r="AN66" i="1"/>
  <c r="AO87" i="1"/>
  <c r="AN87" i="1"/>
  <c r="AL118" i="1"/>
  <c r="AM118" i="1" s="1"/>
  <c r="AN132" i="1"/>
  <c r="AI83" i="4"/>
  <c r="AJ83" i="4" s="1"/>
  <c r="AK83" i="4" s="1"/>
  <c r="AO178" i="1"/>
  <c r="AN178" i="1"/>
  <c r="AN177" i="1"/>
  <c r="AO187" i="1"/>
  <c r="AN187" i="1"/>
  <c r="AK143" i="4"/>
  <c r="AK150" i="4"/>
  <c r="AI12" i="1"/>
  <c r="AJ12" i="1" s="1"/>
  <c r="AK12" i="1" s="1"/>
  <c r="AN19" i="1"/>
  <c r="AO121" i="1"/>
  <c r="AK124" i="1"/>
  <c r="AK127" i="1"/>
  <c r="AN22" i="1"/>
  <c r="AI39" i="1"/>
  <c r="AJ39" i="1" s="1"/>
  <c r="AI40" i="1"/>
  <c r="AJ40" i="1" s="1"/>
  <c r="AK40" i="1" s="1"/>
  <c r="AI56" i="1"/>
  <c r="AJ56" i="1" s="1"/>
  <c r="AK56" i="1" s="1"/>
  <c r="AI61" i="1"/>
  <c r="AN102" i="1"/>
  <c r="AN122" i="1"/>
  <c r="AN125" i="1"/>
  <c r="AL15" i="1"/>
  <c r="AM15" i="1" s="1"/>
  <c r="AN49" i="1"/>
  <c r="AO79" i="1"/>
  <c r="AL88" i="1"/>
  <c r="AM88" i="1" s="1"/>
  <c r="AO98" i="1"/>
  <c r="AO99" i="1"/>
  <c r="AN99" i="1"/>
  <c r="AO100" i="1"/>
  <c r="AI106" i="1"/>
  <c r="AJ106" i="1" s="1"/>
  <c r="AL108" i="1"/>
  <c r="AL113" i="1"/>
  <c r="AM113" i="1" s="1"/>
  <c r="AI130" i="1"/>
  <c r="AI131" i="1"/>
  <c r="AI163" i="1"/>
  <c r="AJ163" i="1" s="1"/>
  <c r="AK163" i="1" s="1"/>
  <c r="AL180" i="1"/>
  <c r="AM180" i="1" s="1"/>
  <c r="AL181" i="1"/>
  <c r="AM181" i="1" s="1"/>
  <c r="AK61" i="4"/>
  <c r="AI141" i="1"/>
  <c r="AJ141" i="1" s="1"/>
  <c r="AK141" i="1" s="1"/>
  <c r="AL141" i="1"/>
  <c r="AM141" i="1" s="1"/>
  <c r="AN48" i="1"/>
  <c r="AI128" i="1"/>
  <c r="AN163" i="1"/>
  <c r="AI25" i="1"/>
  <c r="AJ25" i="1" s="1"/>
  <c r="AK25" i="1" s="1"/>
  <c r="AI38" i="1"/>
  <c r="AI57" i="1"/>
  <c r="AJ57" i="1" s="1"/>
  <c r="AK57" i="1" s="1"/>
  <c r="AI107" i="1"/>
  <c r="AJ107" i="1" s="1"/>
  <c r="AK107" i="1" s="1"/>
  <c r="AO8" i="1"/>
  <c r="AN8" i="1"/>
  <c r="AI27" i="1"/>
  <c r="AJ27" i="1" s="1"/>
  <c r="AL41" i="1"/>
  <c r="AI63" i="1"/>
  <c r="AI64" i="1"/>
  <c r="AJ64" i="1" s="1"/>
  <c r="AL65" i="1"/>
  <c r="AM65" i="1" s="1"/>
  <c r="AL70" i="1"/>
  <c r="AM70" i="1" s="1"/>
  <c r="AI89" i="1"/>
  <c r="AL104" i="1"/>
  <c r="AM104" i="1" s="1"/>
  <c r="AL112" i="1"/>
  <c r="AM112" i="1" s="1"/>
  <c r="AL139" i="1"/>
  <c r="AM139" i="1" s="1"/>
  <c r="AI140" i="1"/>
  <c r="AJ140" i="1" s="1"/>
  <c r="AL162" i="1"/>
  <c r="AM162" i="1" s="1"/>
  <c r="AO163" i="1"/>
  <c r="AI184" i="1"/>
  <c r="AJ184" i="1" s="1"/>
  <c r="AK184" i="1" s="1"/>
  <c r="AL184" i="1"/>
  <c r="AM184" i="1" s="1"/>
  <c r="AL192" i="1"/>
  <c r="AM192" i="1" s="1"/>
  <c r="AL200" i="1"/>
  <c r="AM200" i="1" s="1"/>
  <c r="AN189" i="1"/>
  <c r="AL194" i="1"/>
  <c r="AI194" i="1"/>
  <c r="AK16" i="1"/>
  <c r="AL45" i="1"/>
  <c r="AM45" i="1" s="1"/>
  <c r="AO57" i="1"/>
  <c r="AL69" i="1"/>
  <c r="AM69" i="1" s="1"/>
  <c r="AK89" i="1"/>
  <c r="AK113" i="1"/>
  <c r="AL114" i="1"/>
  <c r="AM114" i="1" s="1"/>
  <c r="AL119" i="1"/>
  <c r="AM119" i="1" s="1"/>
  <c r="AL132" i="1"/>
  <c r="AK134" i="1"/>
  <c r="AL148" i="1"/>
  <c r="AM148" i="1" s="1"/>
  <c r="AL172" i="1"/>
  <c r="AM172" i="1" s="1"/>
  <c r="AI172" i="1"/>
  <c r="AJ172" i="1" s="1"/>
  <c r="AK172" i="1" s="1"/>
  <c r="AL179" i="1"/>
  <c r="AM179" i="1" s="1"/>
  <c r="AK180" i="1"/>
  <c r="AK158" i="4"/>
  <c r="AI182" i="4"/>
  <c r="AJ182" i="4" s="1"/>
  <c r="AK182" i="4" s="1"/>
  <c r="AO199" i="1"/>
  <c r="AN199" i="1"/>
  <c r="AK4" i="4"/>
  <c r="AK126" i="4"/>
  <c r="AI157" i="1"/>
  <c r="AJ157" i="1" s="1"/>
  <c r="AI52" i="4"/>
  <c r="AJ52" i="4" s="1"/>
  <c r="AK52" i="4" s="1"/>
  <c r="AI167" i="4"/>
  <c r="AJ167" i="4" s="1"/>
  <c r="AK167" i="4" s="1"/>
  <c r="AI135" i="1"/>
  <c r="AJ135" i="1" s="1"/>
  <c r="AL151" i="1"/>
  <c r="AM151" i="1" s="1"/>
  <c r="AL175" i="1"/>
  <c r="AI39" i="4"/>
  <c r="AJ39" i="4" s="1"/>
  <c r="AK39" i="4" s="1"/>
  <c r="AI8" i="4"/>
  <c r="AI62" i="4"/>
  <c r="AI122" i="4"/>
  <c r="AI148" i="4"/>
  <c r="AJ148" i="4" s="1"/>
  <c r="AK148" i="4" s="1"/>
  <c r="AK27" i="4"/>
  <c r="AK105" i="4"/>
  <c r="AI133" i="4"/>
  <c r="AJ133" i="4" s="1"/>
  <c r="AK133" i="4" s="1"/>
  <c r="AI154" i="4"/>
  <c r="AK40" i="4"/>
  <c r="AK175" i="4"/>
  <c r="AK181" i="4"/>
  <c r="AI14" i="4"/>
  <c r="AJ14" i="4" s="1"/>
  <c r="AK14" i="4" s="1"/>
  <c r="AK49" i="4"/>
  <c r="AI48" i="4"/>
  <c r="AI51" i="4"/>
  <c r="AJ51" i="4" s="1"/>
  <c r="AK51" i="4" s="1"/>
  <c r="AI109" i="4"/>
  <c r="AJ109" i="4" s="1"/>
  <c r="AK109" i="4" s="1"/>
  <c r="AK112" i="4"/>
  <c r="AI24" i="4"/>
  <c r="AK65" i="4"/>
  <c r="AI74" i="4"/>
  <c r="AJ74" i="4" s="1"/>
  <c r="AK74" i="4" s="1"/>
  <c r="AI85" i="4"/>
  <c r="AK116" i="4"/>
  <c r="AI135" i="4"/>
  <c r="AJ135" i="4" s="1"/>
  <c r="AK135" i="4" s="1"/>
  <c r="AK170" i="4"/>
  <c r="AI191" i="4"/>
  <c r="AJ191" i="4" s="1"/>
  <c r="AK191" i="4" s="1"/>
  <c r="AI30" i="4"/>
  <c r="AJ30" i="4" s="1"/>
  <c r="AK30" i="4" s="1"/>
  <c r="AK50" i="4"/>
  <c r="AI97" i="4"/>
  <c r="AJ97" i="4" s="1"/>
  <c r="AK97" i="4" s="1"/>
  <c r="AI165" i="4"/>
  <c r="AJ165" i="4" s="1"/>
  <c r="AK165" i="4" s="1"/>
  <c r="AK47" i="4"/>
  <c r="AI145" i="4"/>
  <c r="AJ145" i="4" s="1"/>
  <c r="AK145" i="4" s="1"/>
  <c r="AI149" i="4"/>
  <c r="AJ149" i="4" s="1"/>
  <c r="AK149" i="4" s="1"/>
  <c r="AI160" i="4"/>
  <c r="AI177" i="4"/>
  <c r="AI18" i="4"/>
  <c r="AJ18" i="4" s="1"/>
  <c r="AK18" i="4" s="1"/>
  <c r="AK19" i="4"/>
  <c r="AK37" i="4"/>
  <c r="AI197" i="4"/>
  <c r="AK198" i="4"/>
  <c r="AI31" i="4"/>
  <c r="AJ31" i="4" s="1"/>
  <c r="AK31" i="4" s="1"/>
  <c r="AI57" i="4"/>
  <c r="AJ57" i="4" s="1"/>
  <c r="AK57" i="4" s="1"/>
  <c r="AI77" i="4"/>
  <c r="AJ77" i="4" s="1"/>
  <c r="AK77" i="4" s="1"/>
  <c r="AI103" i="4"/>
  <c r="AJ103" i="4" s="1"/>
  <c r="AK103" i="4" s="1"/>
  <c r="AI86" i="4"/>
  <c r="AI71" i="4"/>
  <c r="AK86" i="4"/>
  <c r="AN51" i="1" l="1"/>
  <c r="AO51" i="1"/>
  <c r="AO182" i="1"/>
  <c r="AN182" i="1"/>
  <c r="AK157" i="1"/>
  <c r="AO157" i="1"/>
  <c r="AO59" i="1"/>
  <c r="AN59" i="1"/>
  <c r="AO171" i="1"/>
  <c r="AO80" i="1"/>
  <c r="AN80" i="1"/>
  <c r="AO50" i="1"/>
  <c r="AN50" i="1"/>
  <c r="AN69" i="1"/>
  <c r="AO69" i="1"/>
  <c r="AO27" i="1"/>
  <c r="AK27" i="1"/>
  <c r="AK1" i="1" s="1"/>
  <c r="AO190" i="1"/>
  <c r="AN190" i="1"/>
  <c r="AN34" i="1"/>
  <c r="AO34" i="1"/>
  <c r="AO35" i="1"/>
  <c r="AN35" i="1"/>
  <c r="AO179" i="1"/>
  <c r="AN179" i="1"/>
  <c r="AK140" i="1"/>
  <c r="AO140" i="1"/>
  <c r="AN118" i="1"/>
  <c r="AO118" i="1"/>
  <c r="AN53" i="1"/>
  <c r="AO53" i="1"/>
  <c r="AN52" i="1"/>
  <c r="AO52" i="1"/>
  <c r="AO123" i="1"/>
  <c r="AN123" i="1"/>
  <c r="AN169" i="1"/>
  <c r="AO169" i="1"/>
  <c r="AO172" i="1"/>
  <c r="AN172" i="1"/>
  <c r="AO151" i="1"/>
  <c r="AN151" i="1"/>
  <c r="AO101" i="1"/>
  <c r="AN101" i="1"/>
  <c r="AK135" i="1"/>
  <c r="AO135" i="1"/>
  <c r="AO23" i="1"/>
  <c r="AN23" i="1"/>
  <c r="AO21" i="1"/>
  <c r="AN70" i="1"/>
  <c r="AO70" i="1"/>
  <c r="AO181" i="1"/>
  <c r="AN181" i="1"/>
  <c r="AN88" i="1"/>
  <c r="AO88" i="1"/>
  <c r="AO56" i="1"/>
  <c r="AO155" i="1"/>
  <c r="AO161" i="1"/>
  <c r="AO184" i="1"/>
  <c r="AN184" i="1"/>
  <c r="AN15" i="1"/>
  <c r="AO15" i="1"/>
  <c r="AN183" i="1"/>
  <c r="AO183" i="1"/>
  <c r="AO141" i="1"/>
  <c r="AN141" i="1"/>
  <c r="AO113" i="1"/>
  <c r="AN113" i="1"/>
  <c r="AN55" i="1"/>
  <c r="AO55" i="1"/>
  <c r="AO164" i="1"/>
  <c r="AN164" i="1"/>
  <c r="AO10" i="1"/>
  <c r="AN10" i="1"/>
  <c r="AO12" i="1"/>
  <c r="AN139" i="1"/>
  <c r="AO139" i="1"/>
  <c r="AN112" i="1"/>
  <c r="AO112" i="1"/>
  <c r="AO153" i="1"/>
  <c r="AO32" i="1"/>
  <c r="AN32" i="1"/>
  <c r="AO104" i="1"/>
  <c r="AN104" i="1"/>
  <c r="AO4" i="1"/>
  <c r="AN4" i="1"/>
  <c r="AO170" i="1"/>
  <c r="AN170" i="1"/>
  <c r="AO138" i="1"/>
  <c r="AK1" i="4"/>
  <c r="AO119" i="1"/>
  <c r="AN119" i="1"/>
  <c r="AO200" i="1"/>
  <c r="AN200" i="1"/>
  <c r="AO65" i="1"/>
  <c r="AN65" i="1"/>
  <c r="AO180" i="1"/>
  <c r="AN180" i="1"/>
  <c r="AK39" i="1"/>
  <c r="AO39" i="1"/>
  <c r="AN126" i="1"/>
  <c r="AO126" i="1"/>
  <c r="AN168" i="1"/>
  <c r="AO168" i="1"/>
  <c r="AO93" i="1"/>
  <c r="AO25" i="1"/>
  <c r="AO152" i="1"/>
  <c r="AO58" i="1"/>
  <c r="AN58" i="1"/>
  <c r="AO6" i="1"/>
  <c r="AN6" i="1"/>
  <c r="AO81" i="1"/>
  <c r="AN81" i="1"/>
  <c r="AN162" i="1"/>
  <c r="AO162" i="1"/>
  <c r="AN45" i="1"/>
  <c r="AO45" i="1"/>
  <c r="AK106" i="1"/>
  <c r="AO106" i="1"/>
  <c r="AO83" i="1"/>
  <c r="AN83" i="1"/>
  <c r="AN165" i="1"/>
  <c r="AO165" i="1"/>
  <c r="AO20" i="1"/>
  <c r="AO148" i="1"/>
  <c r="AN148" i="1"/>
  <c r="AN114" i="1"/>
  <c r="AO114" i="1"/>
  <c r="AO192" i="1"/>
  <c r="AN192" i="1"/>
  <c r="AK64" i="1"/>
  <c r="AO64" i="1"/>
  <c r="AO11" i="1"/>
  <c r="AN11" i="1"/>
  <c r="AO9" i="1"/>
  <c r="AN9" i="1"/>
  <c r="AO95" i="1"/>
  <c r="AN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0"/>
            <color rgb="FF000000"/>
            <rFont val="Arial"/>
            <scheme val="minor"/>
          </rPr>
          <t>若此欄位有打”V”，則不須再下單</t>
        </r>
      </text>
    </comment>
    <comment ref="R3" authorId="0" shapeId="0" xr:uid="{00000000-0006-0000-0000-000002000000}">
      <text>
        <r>
          <rPr>
            <sz val="10"/>
            <color rgb="FF000000"/>
            <rFont val="Arial"/>
            <scheme val="minor"/>
          </rPr>
          <t>一個半月顯示1.5以此類推，請將報關時間也估算進去</t>
        </r>
      </text>
    </comment>
    <comment ref="AI28" authorId="0" shapeId="0" xr:uid="{00000000-0006-0000-0000-000003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L28" authorId="0" shapeId="0" xr:uid="{00000000-0006-0000-0000-000004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29" authorId="0" shapeId="0" xr:uid="{00000000-0006-0000-0000-000005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0" authorId="0" shapeId="0" xr:uid="{00000000-0006-0000-0000-000006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1" authorId="0" shapeId="0" xr:uid="{00000000-0006-0000-0000-000007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2" authorId="0" shapeId="0" xr:uid="{00000000-0006-0000-0000-000008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3" authorId="0" shapeId="0" xr:uid="{00000000-0006-0000-0000-000009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4" authorId="0" shapeId="0" xr:uid="{00000000-0006-0000-0000-00000A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5" authorId="0" shapeId="0" xr:uid="{00000000-0006-0000-0000-00000B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J72" authorId="0" shapeId="0" xr:uid="{00000000-0006-0000-0000-00000C000000}">
      <text>
        <r>
          <rPr>
            <sz val="10"/>
            <color rgb="FF000000"/>
            <rFont val="Arial"/>
            <scheme val="minor"/>
          </rPr>
          <t>因應MOQ調整為150</t>
        </r>
      </text>
    </comment>
    <comment ref="AM72" authorId="0" shapeId="0" xr:uid="{00000000-0006-0000-0000-00000D000000}">
      <text>
        <r>
          <rPr>
            <sz val="10"/>
            <color rgb="FF000000"/>
            <rFont val="Arial"/>
            <scheme val="minor"/>
          </rPr>
          <t>因應MOQ調整為150</t>
        </r>
      </text>
    </comment>
    <comment ref="AI83" authorId="0" shapeId="0" xr:uid="{00000000-0006-0000-0000-00000E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L83" authorId="0" shapeId="0" xr:uid="{00000000-0006-0000-0000-00000F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84" authorId="0" shapeId="0" xr:uid="{00000000-0006-0000-0000-000010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K147" authorId="0" shapeId="0" xr:uid="{00000000-0006-0000-0000-000011000000}">
      <text>
        <r>
          <rPr>
            <sz val="10"/>
            <color rgb="FF000000"/>
            <rFont val="Arial"/>
            <scheme val="minor"/>
          </rPr>
          <t>50kg
50000g/200g=250</t>
        </r>
      </text>
    </comment>
    <comment ref="N147" authorId="0" shapeId="0" xr:uid="{00000000-0006-0000-0000-000012000000}">
      <text>
        <r>
          <rPr>
            <sz val="10"/>
            <color rgb="FF000000"/>
            <rFont val="Arial"/>
            <scheme val="minor"/>
          </rPr>
          <t>200公克，一箱中有4盒</t>
        </r>
      </text>
    </comment>
    <comment ref="K171" authorId="0" shapeId="0" xr:uid="{00000000-0006-0000-0000-000013000000}">
      <text>
        <r>
          <rPr>
            <sz val="10"/>
            <color rgb="FF000000"/>
            <rFont val="Arial"/>
            <scheme val="minor"/>
          </rPr>
          <t>單品項400pcs
兩品項共700pcs</t>
        </r>
      </text>
    </comment>
    <comment ref="K172" authorId="0" shapeId="0" xr:uid="{00000000-0006-0000-0000-000014000000}">
      <text>
        <r>
          <rPr>
            <sz val="10"/>
            <color rgb="FF000000"/>
            <rFont val="Arial"/>
            <scheme val="minor"/>
          </rPr>
          <t>單品項400pcs
兩品項共700pcs</t>
        </r>
      </text>
    </comment>
    <comment ref="K173" authorId="0" shapeId="0" xr:uid="{00000000-0006-0000-0000-000015000000}">
      <text>
        <r>
          <rPr>
            <sz val="10"/>
            <color rgb="FF000000"/>
            <rFont val="Arial"/>
            <scheme val="minor"/>
          </rPr>
          <t>AVOLTA MOQ
單品項兩航空公司7500pcs</t>
        </r>
      </text>
    </comment>
    <comment ref="K174" authorId="0" shapeId="0" xr:uid="{00000000-0006-0000-0000-000016000000}">
      <text>
        <r>
          <rPr>
            <sz val="10"/>
            <color rgb="FF000000"/>
            <rFont val="Arial"/>
            <scheme val="minor"/>
          </rPr>
          <t>AVOLTA MOQ
單品項兩航空公司7500pcs</t>
        </r>
      </text>
    </comment>
    <comment ref="K176" authorId="0" shapeId="0" xr:uid="{00000000-0006-0000-0000-000017000000}">
      <text>
        <r>
          <rPr>
            <sz val="10"/>
            <color rgb="FF000000"/>
            <rFont val="Arial"/>
            <scheme val="minor"/>
          </rPr>
          <t>AVOLTA MOQ
單品項兩航空公司7500pcs</t>
        </r>
      </text>
    </comment>
    <comment ref="AJ176" authorId="0" shapeId="0" xr:uid="{00000000-0006-0000-0000-000018000000}">
      <text>
        <r>
          <rPr>
            <sz val="10"/>
            <color rgb="FF000000"/>
            <rFont val="Arial"/>
            <scheme val="minor"/>
          </rPr>
          <t>從CI移倉，不另外補貨</t>
        </r>
      </text>
    </comment>
    <comment ref="K177" authorId="0" shapeId="0" xr:uid="{00000000-0006-0000-0000-000019000000}">
      <text>
        <r>
          <rPr>
            <sz val="10"/>
            <color rgb="FF000000"/>
            <rFont val="Arial"/>
            <scheme val="minor"/>
          </rPr>
          <t>AVOLTA MOQ
Marlboro 兩品項兩航空公司 2500pcs
按兩航空公司兩款菸銷售量占比計算</t>
        </r>
      </text>
    </comment>
    <comment ref="K178" authorId="0" shapeId="0" xr:uid="{00000000-0006-0000-0000-00001A000000}">
      <text>
        <r>
          <rPr>
            <sz val="10"/>
            <color rgb="FF000000"/>
            <rFont val="Arial"/>
            <scheme val="minor"/>
          </rPr>
          <t>AVOLTA MOQ
Marlboro 兩品項兩航空公司 2500pcs
按兩航空公司兩款菸銷售量占比計算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300-000001000000}">
      <text>
        <r>
          <rPr>
            <sz val="10"/>
            <color rgb="FF000000"/>
            <rFont val="Arial"/>
            <scheme val="minor"/>
          </rPr>
          <t>若此欄位有打”V”，則不須再下單</t>
        </r>
      </text>
    </comment>
    <comment ref="R3" authorId="0" shapeId="0" xr:uid="{00000000-0006-0000-0300-000002000000}">
      <text>
        <r>
          <rPr>
            <sz val="10"/>
            <color rgb="FF000000"/>
            <rFont val="Arial"/>
            <scheme val="minor"/>
          </rPr>
          <t>一個半月顯示1.5以此類推，請將報關時間也估算進去</t>
        </r>
      </text>
    </comment>
    <comment ref="AI28" authorId="0" shapeId="0" xr:uid="{00000000-0006-0000-0300-000003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29" authorId="0" shapeId="0" xr:uid="{00000000-0006-0000-0300-000004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0" authorId="0" shapeId="0" xr:uid="{00000000-0006-0000-0300-000005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1" authorId="0" shapeId="0" xr:uid="{00000000-0006-0000-0300-000006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2" authorId="0" shapeId="0" xr:uid="{00000000-0006-0000-0300-000007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3" authorId="0" shapeId="0" xr:uid="{00000000-0006-0000-0300-000008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4" authorId="0" shapeId="0" xr:uid="{00000000-0006-0000-0300-000009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35" authorId="0" shapeId="0" xr:uid="{00000000-0006-0000-0300-00000A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J72" authorId="0" shapeId="0" xr:uid="{00000000-0006-0000-0300-00000B000000}">
      <text>
        <r>
          <rPr>
            <sz val="10"/>
            <color rgb="FF000000"/>
            <rFont val="Arial"/>
            <scheme val="minor"/>
          </rPr>
          <t>因應MOQ調整為150</t>
        </r>
      </text>
    </comment>
    <comment ref="AI83" authorId="0" shapeId="0" xr:uid="{00000000-0006-0000-0300-00000C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AI84" authorId="0" shapeId="0" xr:uid="{00000000-0006-0000-0300-00000D000000}">
      <text>
        <r>
          <rPr>
            <sz val="10"/>
            <color rgb="FF000000"/>
            <rFont val="Arial"/>
            <scheme val="minor"/>
          </rPr>
          <t>因應集團MOV USD5000
統一調整需求量為2.35個月</t>
        </r>
      </text>
    </comment>
    <comment ref="K147" authorId="0" shapeId="0" xr:uid="{00000000-0006-0000-0300-00000E000000}">
      <text>
        <r>
          <rPr>
            <sz val="10"/>
            <color rgb="FF000000"/>
            <rFont val="Arial"/>
            <scheme val="minor"/>
          </rPr>
          <t>50kg
50000g/200g=250</t>
        </r>
      </text>
    </comment>
    <comment ref="N147" authorId="0" shapeId="0" xr:uid="{00000000-0006-0000-0300-00000F000000}">
      <text>
        <r>
          <rPr>
            <sz val="10"/>
            <color rgb="FF000000"/>
            <rFont val="Arial"/>
            <scheme val="minor"/>
          </rPr>
          <t>200公克，一箱中有4盒</t>
        </r>
      </text>
    </comment>
    <comment ref="K171" authorId="0" shapeId="0" xr:uid="{00000000-0006-0000-0300-000010000000}">
      <text>
        <r>
          <rPr>
            <sz val="10"/>
            <color rgb="FF000000"/>
            <rFont val="Arial"/>
            <scheme val="minor"/>
          </rPr>
          <t>單品項400pcs
兩品項共700pcs</t>
        </r>
      </text>
    </comment>
    <comment ref="K172" authorId="0" shapeId="0" xr:uid="{00000000-0006-0000-0300-000011000000}">
      <text>
        <r>
          <rPr>
            <sz val="10"/>
            <color rgb="FF000000"/>
            <rFont val="Arial"/>
            <scheme val="minor"/>
          </rPr>
          <t>單品項400pcs
兩品項共700pcs</t>
        </r>
      </text>
    </comment>
    <comment ref="K173" authorId="0" shapeId="0" xr:uid="{00000000-0006-0000-0300-000012000000}">
      <text>
        <r>
          <rPr>
            <sz val="10"/>
            <color rgb="FF000000"/>
            <rFont val="Arial"/>
            <scheme val="minor"/>
          </rPr>
          <t>AVOLTA MOQ
單品項兩航空公司7500pcs</t>
        </r>
      </text>
    </comment>
    <comment ref="K174" authorId="0" shapeId="0" xr:uid="{00000000-0006-0000-0300-000013000000}">
      <text>
        <r>
          <rPr>
            <sz val="10"/>
            <color rgb="FF000000"/>
            <rFont val="Arial"/>
            <scheme val="minor"/>
          </rPr>
          <t>AVOLTA MOQ
單品項兩航空公司7500pcs</t>
        </r>
      </text>
    </comment>
    <comment ref="K176" authorId="0" shapeId="0" xr:uid="{00000000-0006-0000-0300-000014000000}">
      <text>
        <r>
          <rPr>
            <sz val="10"/>
            <color rgb="FF000000"/>
            <rFont val="Arial"/>
            <scheme val="minor"/>
          </rPr>
          <t>AVOLTA MOQ
單品項兩航空公司7500pcs</t>
        </r>
      </text>
    </comment>
    <comment ref="AJ176" authorId="0" shapeId="0" xr:uid="{00000000-0006-0000-0300-000015000000}">
      <text>
        <r>
          <rPr>
            <sz val="10"/>
            <color rgb="FF000000"/>
            <rFont val="Arial"/>
            <scheme val="minor"/>
          </rPr>
          <t>從CI移倉，不另外補貨</t>
        </r>
      </text>
    </comment>
    <comment ref="K177" authorId="0" shapeId="0" xr:uid="{00000000-0006-0000-0300-000016000000}">
      <text>
        <r>
          <rPr>
            <sz val="10"/>
            <color rgb="FF000000"/>
            <rFont val="Arial"/>
            <scheme val="minor"/>
          </rPr>
          <t>AVOLTA MOQ
Marlboro 兩品項兩航空公司 2500pcs
按兩航空公司兩款菸銷售量占比計算</t>
        </r>
      </text>
    </comment>
    <comment ref="K178" authorId="0" shapeId="0" xr:uid="{00000000-0006-0000-0300-000017000000}">
      <text>
        <r>
          <rPr>
            <sz val="10"/>
            <color rgb="FF000000"/>
            <rFont val="Arial"/>
            <scheme val="minor"/>
          </rPr>
          <t>AVOLTA MOQ
Marlboro 兩品項兩航空公司 2500pcs
按兩航空公司兩款菸銷售量占比計算</t>
        </r>
      </text>
    </comment>
  </commentList>
</comments>
</file>

<file path=xl/sharedStrings.xml><?xml version="1.0" encoding="utf-8"?>
<sst xmlns="http://schemas.openxmlformats.org/spreadsheetml/2006/main" count="3480" uniqueCount="340">
  <si>
    <t>TTW 採購大表_20260304</t>
  </si>
  <si>
    <t>請免稅處協助填寫</t>
  </si>
  <si>
    <t>禁止排序!!</t>
  </si>
  <si>
    <t>A為全航線販售，M為預購限定但有刊載在雜誌上，O為預購限定僅刊載在網路上，D為下架品，T為菸品</t>
  </si>
  <si>
    <t>虎航的Shiseido跟la mer只能透過華航訂貨之後再轉</t>
  </si>
  <si>
    <t>請將報關時間也估算進去</t>
  </si>
  <si>
    <t>裝載量</t>
  </si>
  <si>
    <t>銷售額</t>
  </si>
  <si>
    <t>銷售量</t>
  </si>
  <si>
    <t>銷售額排行</t>
  </si>
  <si>
    <t>銷售量排行</t>
  </si>
  <si>
    <t>SKU No.</t>
  </si>
  <si>
    <t>DESCRIPTION</t>
  </si>
  <si>
    <t>上季</t>
  </si>
  <si>
    <t>本季</t>
  </si>
  <si>
    <t>下季</t>
  </si>
  <si>
    <t>規劃性下架</t>
  </si>
  <si>
    <t>供應商代號</t>
  </si>
  <si>
    <t>Group</t>
  </si>
  <si>
    <t>付款條件</t>
  </si>
  <si>
    <t>寄售/買斷</t>
  </si>
  <si>
    <t>MOQ</t>
  </si>
  <si>
    <t>MOV幣別</t>
  </si>
  <si>
    <t>MOV</t>
  </si>
  <si>
    <t>成箱規定</t>
  </si>
  <si>
    <t>幣別</t>
  </si>
  <si>
    <t>成本</t>
  </si>
  <si>
    <t>TWD成本</t>
  </si>
  <si>
    <t>lead time</t>
  </si>
  <si>
    <t>預估到貨時間</t>
  </si>
  <si>
    <t>機上量</t>
  </si>
  <si>
    <t>新機上量</t>
  </si>
  <si>
    <t>1月</t>
  </si>
  <si>
    <t>2月</t>
  </si>
  <si>
    <t>平均月銷量</t>
  </si>
  <si>
    <t>期初庫存(2/1)</t>
  </si>
  <si>
    <t>本月銷貨(2月)</t>
  </si>
  <si>
    <t>本月進貨</t>
  </si>
  <si>
    <t>在途庫存</t>
  </si>
  <si>
    <t>需求量</t>
  </si>
  <si>
    <t>3/4補貨量
(以1.5個月)</t>
  </si>
  <si>
    <t>採購金額</t>
  </si>
  <si>
    <t>3/11補貨量
(以lead time)</t>
  </si>
  <si>
    <t>追加數量</t>
  </si>
  <si>
    <t>00085</t>
  </si>
  <si>
    <t>台灣虎航－雲朵購物袋</t>
  </si>
  <si>
    <t>A</t>
  </si>
  <si>
    <t>MA00378</t>
  </si>
  <si>
    <t>M30</t>
  </si>
  <si>
    <t>買斷</t>
  </si>
  <si>
    <t>TWD</t>
  </si>
  <si>
    <t>雅詩蘭黛特潤超導全方位修護露100ML</t>
  </si>
  <si>
    <t>MA00425</t>
  </si>
  <si>
    <t>Estee Lauder</t>
  </si>
  <si>
    <t>M60</t>
  </si>
  <si>
    <t>USD</t>
  </si>
  <si>
    <t>雅詩蘭黛特潤全能修護亮眼霜​雙支裝(15MLx2)</t>
  </si>
  <si>
    <t>蘭蔻超未來肌因賦活露 100ML</t>
  </si>
  <si>
    <t>L'Oreal</t>
  </si>
  <si>
    <t>蘭蔻絕對完美唇膏三入組(新版)</t>
  </si>
  <si>
    <t>O</t>
  </si>
  <si>
    <t>V</t>
  </si>
  <si>
    <t>MA00042</t>
  </si>
  <si>
    <t>M45</t>
  </si>
  <si>
    <t>YSL 超模光感精華水氣墊 #B10 SPF23/PA ++</t>
  </si>
  <si>
    <t>植村秀山茶花精萃奢養潔顏油 150ML</t>
  </si>
  <si>
    <t>植村秀無極限裸光精萃粉底 #584 35ML</t>
  </si>
  <si>
    <t>植村秀無極限持久定妝噴霧 100ML</t>
  </si>
  <si>
    <t>雪花秀潤燥養膚精華(120ml)</t>
  </si>
  <si>
    <t>AmorePacific</t>
  </si>
  <si>
    <t>雪花秀淨透保濕潔顏泡沫兩件組(200mlx2)</t>
  </si>
  <si>
    <t>雪花秀完美柔焦精華氣墊兩入組</t>
  </si>
  <si>
    <t>倩碧滋潤高效水嫩保濕組</t>
  </si>
  <si>
    <t>品木宣言一舉兩得潔面慕絲</t>
  </si>
  <si>
    <t>EVE LOM經典潔淨霜</t>
  </si>
  <si>
    <t>MA00448</t>
  </si>
  <si>
    <t>EVE LOM亮采潔淨面膜</t>
  </si>
  <si>
    <t>契爾氏激光極淨白淡斑精華 115ML</t>
  </si>
  <si>
    <t>契爾氏冰河醣蛋白保濕霜125ML</t>
  </si>
  <si>
    <t>契爾氏集高效清爽UV防護乳 SPF50 PA++++</t>
  </si>
  <si>
    <t>歐緹麗葡萄籽活性爽膚水「皇后水」二入組</t>
  </si>
  <si>
    <t>歐緹麗葡萄蔓極緻亮白精華液二入組</t>
  </si>
  <si>
    <t>茱莉蔻水潤光感護理油-玫瑰 50ML</t>
  </si>
  <si>
    <t>POLA</t>
  </si>
  <si>
    <t>茱莉蔻馥郁玫瑰平衡花卉水 100ML</t>
  </si>
  <si>
    <t>茱莉蔻經典護手霜四件套裝</t>
  </si>
  <si>
    <t>伊麗莎白雅頓21天霜雙瓶裝(75mlx2)</t>
  </si>
  <si>
    <t>REVLON</t>
  </si>
  <si>
    <t>伊麗莎白雅頓八小時潤采護唇膏SPF15三支裝</t>
  </si>
  <si>
    <t>伊麗莎白雅頓8小時神奇保濕乳 45ML</t>
  </si>
  <si>
    <t>伊麗莎白雅頓8小時輕感平衡油 100ML</t>
  </si>
  <si>
    <t>伊麗莎白雅頓HPR玫瑰金抗痕膠囊 60顆</t>
  </si>
  <si>
    <t>伊麗莎白雅頓超進化黃金導航膠囊60顆</t>
  </si>
  <si>
    <t>伊麗莎白雅頓 HA白金澎潤保濕膠囊 60顆</t>
  </si>
  <si>
    <t>伊麗莎白雅頓艾地苯睫眉再生修護精華(4ml)</t>
  </si>
  <si>
    <t>舒特膚BHR淨白無暇精華雙入組</t>
  </si>
  <si>
    <t>MA00436</t>
  </si>
  <si>
    <t>舒特膚BHR淨白無暇調理安撫雙入組</t>
  </si>
  <si>
    <t>城野醫生 377VC活顏光曜精華 28克</t>
  </si>
  <si>
    <t>城野醫生 VC透肌煥采精粹露雙入組 150ml x2</t>
  </si>
  <si>
    <t>蘭芝睡美人極萃滋養晚安唇膜三件套装</t>
  </si>
  <si>
    <t>蘭芝粉澎潤睡美人晚安面膜雙入組 60MLx2</t>
  </si>
  <si>
    <t>蘭芝水酷修護水潤洗面乳兩件套裝</t>
  </si>
  <si>
    <t>MA00069</t>
  </si>
  <si>
    <t>蘭芝水酷修護保濕霜(清爽)50ml</t>
  </si>
  <si>
    <t>LUMIRA KIRA未來之耀外泌體全效極光煥顏霜</t>
  </si>
  <si>
    <t>MA00087</t>
  </si>
  <si>
    <t>LUMIRA KIRA未來之鑰外泌體全效鎖水煥顏凝露</t>
  </si>
  <si>
    <t>LUMiRAKIRA 未來之耀 外泌體極萃賦活養髮液60ml</t>
  </si>
  <si>
    <t>BY TERRY 亮采修顏精華液 – 玫瑰煥采版 30ml</t>
  </si>
  <si>
    <t>On The Mark</t>
  </si>
  <si>
    <t>BY TERRY 亮白CC調色盤 - 陽光閃耀</t>
  </si>
  <si>
    <t>Blueseeds晨曦玫瑰煥顏精油露 30ML</t>
  </si>
  <si>
    <t>MA00434</t>
  </si>
  <si>
    <t>M75</t>
  </si>
  <si>
    <t>寄售</t>
  </si>
  <si>
    <t>Blueseeds植萃護手霜禮盒(四入組)</t>
  </si>
  <si>
    <t>PUPA 絲柔煥唇磨砂膏 9.5ml</t>
  </si>
  <si>
    <t>MA00340</t>
  </si>
  <si>
    <t>ID60</t>
  </si>
  <si>
    <t>EUR</t>
  </si>
  <si>
    <t>PUPA VAMP! 雙效唇彩筆 - 003 深醺葡萄 4ml</t>
  </si>
  <si>
    <t>PUPA初光輕透三合一多效遮瑕7.5ML</t>
  </si>
  <si>
    <t>PUPA 遮瑕棒</t>
  </si>
  <si>
    <t>艾格尼 MONTANIA 山嵐植萃旅行組 (48ml x4+15g)</t>
  </si>
  <si>
    <t>Grounded Body Scrub 埃及黃金A醇逆齡再生精露</t>
  </si>
  <si>
    <t>Grounded Body 維他命C玻尿酸保濕精華</t>
  </si>
  <si>
    <t>Grounded Body Egyptian White Gold甘醇酸維他命E精華</t>
  </si>
  <si>
    <t>埃及神奇修護霜</t>
  </si>
  <si>
    <t>巴黎歐樹全效晶亮精華油100ML</t>
  </si>
  <si>
    <t>MA00044</t>
  </si>
  <si>
    <t>巴黎歐樹防曬探索護理組</t>
  </si>
  <si>
    <t>巴黎歐樹玫瑰和蜂蜜之夢幻修護潤唇膏套裝</t>
  </si>
  <si>
    <t>MARGARET DABBS LONDON 手足多元修護旅行3件組</t>
  </si>
  <si>
    <t>資生堂芯之麗 極光綻色雙精萃 100ML</t>
  </si>
  <si>
    <t>MA00489</t>
  </si>
  <si>
    <t>資生堂 羽絨蓬蓬霧 150ML</t>
  </si>
  <si>
    <t>摩洛哥優油舒緩頭皮精華 100ML</t>
  </si>
  <si>
    <t>MA00072</t>
  </si>
  <si>
    <t>摩洛哥優油旅行套組(50ml+25ml)</t>
  </si>
  <si>
    <t>髮朵頭皮護理活化平衡精華-葆林油30ml</t>
  </si>
  <si>
    <t>MA00493</t>
  </si>
  <si>
    <t>MANTA 隨身多功能健康按摩梳-鏡面款</t>
  </si>
  <si>
    <t>We are Paradoxx 頭皮護理再生精華50ML</t>
  </si>
  <si>
    <t>We are Paradoxx 眉睫增長精華3ML</t>
  </si>
  <si>
    <t>SNOW FOX 黃金刮痧頭皮按摩梳：幽靈復古款</t>
  </si>
  <si>
    <t>MA00442</t>
  </si>
  <si>
    <t>FOREO LUNA™ 4 go 隨行版淨透緊緻洗臉機</t>
  </si>
  <si>
    <t>MA00241</t>
  </si>
  <si>
    <t>ID45</t>
  </si>
  <si>
    <t>FOREO BEAR ™ 2 隨行版智能微電流美容儀 (薰衣草紫)</t>
  </si>
  <si>
    <t>FOREO UFO™ 3 go 隨行版智臻面膜儀</t>
  </si>
  <si>
    <t>PLAYFUL Update Nail 快乾護甲指甲油&amp;精選美甲貼</t>
  </si>
  <si>
    <t>Chloé 經典香水組合</t>
  </si>
  <si>
    <t>COTY</t>
  </si>
  <si>
    <t>Marc Jacobs 迷你香水套組</t>
  </si>
  <si>
    <t>VERSACE 香戀明亮水晶淡香水50ML</t>
  </si>
  <si>
    <t>EuroItalia</t>
  </si>
  <si>
    <t>VERSACE 同名經典男性淡香水100ML</t>
  </si>
  <si>
    <t>VERSACE 迷你系列 5MLx5</t>
  </si>
  <si>
    <t>尼可萊清新之水套組 15MLx3</t>
  </si>
  <si>
    <t>伊麗莎白雅頓白茶粉紅蒼蘭香水</t>
  </si>
  <si>
    <t>伊麗莎白雅頓綠茶開心果香水 100ML</t>
  </si>
  <si>
    <t>萬寶龍傳奇烈紅男性淡香精</t>
  </si>
  <si>
    <t>Interparfums</t>
  </si>
  <si>
    <t>ATKINSONS 1799迷你小香組 5MLx5</t>
  </si>
  <si>
    <t>解放橘郡探索針管淡香精禮盒</t>
  </si>
  <si>
    <t>BALLY 黑色皮革防盜卡夾</t>
  </si>
  <si>
    <t>BALLY 男士可調節雙面皮帶</t>
  </si>
  <si>
    <t>PORTER INTERNATIONAL PATCH WORK 雙層斜肩包(S) - 藍色</t>
  </si>
  <si>
    <t>PORTER INTERNATIONAL LUXY 手提包(S) - 深藍配紅</t>
  </si>
  <si>
    <t>Gaston Luga 輕量托特後背包 - 經典黑</t>
  </si>
  <si>
    <t>MA00494</t>
  </si>
  <si>
    <t>GASTON LUGA SPLÄSH 斜背包 - 奶油白</t>
  </si>
  <si>
    <t>Ball &amp; Chain 刺繡包 – 馬車與幸運之鑰（白色）</t>
  </si>
  <si>
    <t>MA00517</t>
  </si>
  <si>
    <t>T/T</t>
  </si>
  <si>
    <t>JPY</t>
  </si>
  <si>
    <t>Emporio Armani 太陽眼鏡（霧面黑）</t>
  </si>
  <si>
    <t>LeSportsac 小型雙面兩用托特包-迷彩灰/夜幕灰</t>
  </si>
  <si>
    <t>POLICE 雙面可調式男士皮帶 - 黑/深棕</t>
  </si>
  <si>
    <t>MA00077</t>
  </si>
  <si>
    <t>TUMI ALPHA 織薄卡包-黑色</t>
  </si>
  <si>
    <t>MAGEASY 雙面掛繩水桶包-星際黑</t>
  </si>
  <si>
    <t>MA00530</t>
  </si>
  <si>
    <t>MAGEASY 機能快扣掛繩 / 掛繩片組(雙扣)-星光色</t>
  </si>
  <si>
    <t>ANY DI 手機袋</t>
  </si>
  <si>
    <t>MA00133</t>
  </si>
  <si>
    <t>中保防災 &amp; Avier 防焰束口袋 - 柔沙杏</t>
  </si>
  <si>
    <t>MA00164</t>
  </si>
  <si>
    <t>瑪莎拉蒂 Successo系列44mm 男士黑色矽膠三眼計時石英腕錶</t>
  </si>
  <si>
    <t>MA00076</t>
  </si>
  <si>
    <t>瑪莎拉蒂 Epoca 42mm 男仕自動機械腕錶</t>
  </si>
  <si>
    <t>瑪莎拉蒂Potenza自動機械鏤空腕錶</t>
  </si>
  <si>
    <t>瑪莎拉蒂 COMPETIZIONE系列三眼計時石英錶</t>
  </si>
  <si>
    <t>Tommy Hilfiger 休閒男士手錶</t>
  </si>
  <si>
    <t>LACOSTE 12.12 鋁製錶殼腕錶-海軍藍矽膠</t>
  </si>
  <si>
    <t>Aviator F系列 智慧女錶</t>
  </si>
  <si>
    <t>CALVIN KLEIN TWISTED BEZEL系列手錶-銀</t>
  </si>
  <si>
    <t>ANNE KLEIN 精緻典雅方形腕錶</t>
  </si>
  <si>
    <t>MA00306</t>
  </si>
  <si>
    <t>喬治傑生Georg Jensen DAISY 四朵花項鍊</t>
  </si>
  <si>
    <t>MA00495</t>
  </si>
  <si>
    <t>喬治傑生Georg Jensen 2025 HERITAGE 吊墜</t>
  </si>
  <si>
    <t>喬治傑生Georg Jensen OFFSPRING 手鍊</t>
  </si>
  <si>
    <t>施華洛世奇Swan 項鏈</t>
  </si>
  <si>
    <t>MA00389</t>
  </si>
  <si>
    <t>施華洛世奇 Cosmopolitan 手錶</t>
  </si>
  <si>
    <t>Swarovski Infinity 項鏈</t>
  </si>
  <si>
    <t>施華洛世奇 Matrix Tennis 手鏈</t>
  </si>
  <si>
    <t>CALVIN KLEIN LINKED 不銹鋼鍊式手鍊3件組</t>
  </si>
  <si>
    <t>Paul Hewitt 海龜錨鏈手鍊－Gold Sand</t>
  </si>
  <si>
    <t>Sif Jakobs CAPIZZI DUE PICCOLO 手鍊</t>
  </si>
  <si>
    <t>MA00487</t>
  </si>
  <si>
    <t>Sif Jakobs ELLERA WAVES MEDIO 耳環 SJ-E3859-CZ</t>
  </si>
  <si>
    <t>Trussardi T-Design 手鐲</t>
  </si>
  <si>
    <t>Les Néréides - Rue Paradis 天堂街手鍊香水香水套組</t>
  </si>
  <si>
    <t>Morellato Tesori 系列純銀水晶項鍊+耳環套裝</t>
  </si>
  <si>
    <t>Morellato 水晶手環</t>
  </si>
  <si>
    <t>Haesoo.L 銀珍珠手鍊 (6MM-M)</t>
  </si>
  <si>
    <t>MA00388</t>
  </si>
  <si>
    <t>ID30</t>
  </si>
  <si>
    <t>HAESOO.L 銀色雙線晶鑽耳環</t>
  </si>
  <si>
    <t>瑪莎拉蒂 Ceramic 陶瓷三叉戟不鏽鋼手鍊</t>
  </si>
  <si>
    <t>PASHMA Pashma 海波柔紗竹絲亞麻羊絨圍巾</t>
  </si>
  <si>
    <t>GIGASTONE 20W Qi2 折疊式無線充電座 旅行組</t>
  </si>
  <si>
    <t>MA00454</t>
  </si>
  <si>
    <t>GIGASTONE 4合1 20W 10000mAh 無線磁吸旅充行動電源</t>
  </si>
  <si>
    <t>SUDIO S2 迷你隨身喇叭(黑)</t>
  </si>
  <si>
    <t>官方授權任天堂瑪利歐按壓式連帽充氣枕</t>
  </si>
  <si>
    <t>MA00242</t>
  </si>
  <si>
    <t>任天堂超級瑪利歐兒童LED石英矽膠手錶</t>
  </si>
  <si>
    <t>瑞士 TRAVELMALL 100W GaN PD 高效能六個 USB 接口筆記型電腦轉換插座</t>
  </si>
  <si>
    <t>TRAVELMALL 10 合 1 多功能旅行工具組</t>
  </si>
  <si>
    <t>Travelmall 多功能 15W 無線磁吸快速充電器</t>
  </si>
  <si>
    <t>Travelmall 2合1自動充氣優質記憶海綿枕</t>
  </si>
  <si>
    <t>Disney 45W 萬國旅行充電器 米奇黑</t>
  </si>
  <si>
    <t>MA00432</t>
  </si>
  <si>
    <t>Artmo 三合一真皮旅行收納充電組</t>
  </si>
  <si>
    <t>yoose MINI5 隨身刮鬍刀 (石墨藍)</t>
  </si>
  <si>
    <t>MA00546</t>
  </si>
  <si>
    <t>NIPLUX TravelRelief Flexloop 頸部放鬆按摩儀</t>
  </si>
  <si>
    <t>VAGO Z 真空壓縮機(航空限定版)</t>
  </si>
  <si>
    <t>MA00203</t>
  </si>
  <si>
    <t>正官庄高麗蔘膏口服液-免稅專售皇家版(10ml*20包)</t>
  </si>
  <si>
    <t>Cona's 寶島茶香巧克力禮盒</t>
  </si>
  <si>
    <t>MA00491</t>
  </si>
  <si>
    <t>Rabitos Royale 西班牙無花果巧克力典藏組 (9顆裝)</t>
  </si>
  <si>
    <t>MA00433</t>
  </si>
  <si>
    <t>Diva Life 比利時黑巧克力片御璽珠寶盒 (36片)</t>
  </si>
  <si>
    <t>MA00441</t>
  </si>
  <si>
    <t>OMAR 原桶強度威士忌禮盒四入組</t>
  </si>
  <si>
    <t>MA00064</t>
  </si>
  <si>
    <t>金門酒廠12年陳年金門高粱酒 0.6L</t>
  </si>
  <si>
    <t>MA00240</t>
  </si>
  <si>
    <t>噶瑪蘭層豐雪莉3桶 單一麥芽威士忌 40% (1L)</t>
  </si>
  <si>
    <t>MA00046</t>
  </si>
  <si>
    <t>噶瑪蘭經典獨奏 VINHO 葡萄酒桶 威士忌原酒 0.7L</t>
  </si>
  <si>
    <t>CHOYA 限定熟成梅酒</t>
  </si>
  <si>
    <t>MA00070</t>
  </si>
  <si>
    <t>CHOYA Selection 國稀 北海道 純米大吟釀 720mL</t>
  </si>
  <si>
    <t>CHOYA 金箔梅酒 500ml</t>
  </si>
  <si>
    <t>CHOYA 5年之宴 18%</t>
  </si>
  <si>
    <t>MOJT 莫其托-大師系列嗨翻三入組47%</t>
  </si>
  <si>
    <t>MA00505</t>
  </si>
  <si>
    <t>00090</t>
  </si>
  <si>
    <t>台灣虎航彩繪之窗撲克牌</t>
  </si>
  <si>
    <t>00089</t>
  </si>
  <si>
    <t>台灣虎航 X nanoblock A320neo 迷你積木組</t>
  </si>
  <si>
    <t>MA00402</t>
  </si>
  <si>
    <t>00091</t>
  </si>
  <si>
    <t>台灣虎航 - 飛行行李吊牌</t>
  </si>
  <si>
    <t>00088</t>
  </si>
  <si>
    <t>台灣虎航-虎將鑰匙圈</t>
  </si>
  <si>
    <t>MA00396</t>
  </si>
  <si>
    <t>00084</t>
  </si>
  <si>
    <t>台灣虎航 A320neo 1:150 飛機模型</t>
  </si>
  <si>
    <t>MA00170</t>
  </si>
  <si>
    <t>00082</t>
  </si>
  <si>
    <t>台灣虎航－環保免電池行李秤</t>
  </si>
  <si>
    <t>MA00376</t>
  </si>
  <si>
    <t>Jurlique 玫瑰護手霜15ML</t>
  </si>
  <si>
    <t>城野醫生377VC活顏光曜精華28g</t>
  </si>
  <si>
    <t>Blueseeds奇妙草本薄荷防護精油膏 6g</t>
  </si>
  <si>
    <t>瑪莎拉蒂經典三叉戟鑰匙圈</t>
  </si>
  <si>
    <t>Maserati 袖扣</t>
  </si>
  <si>
    <t>Diva Life 73%黑巧克力能量罐</t>
  </si>
  <si>
    <t>金門高粱 酒杯禮盒組(35ml X 2入)</t>
  </si>
  <si>
    <t>C0001</t>
  </si>
  <si>
    <t>大衛杜夫捲菸Classic 200's</t>
  </si>
  <si>
    <t>T</t>
  </si>
  <si>
    <t>MA00043</t>
  </si>
  <si>
    <t>C0002</t>
  </si>
  <si>
    <t>大衛杜夫捲菸Gold 200's</t>
  </si>
  <si>
    <t>C0003</t>
  </si>
  <si>
    <t>七星(濃)硬盒</t>
  </si>
  <si>
    <t>MA00031</t>
  </si>
  <si>
    <t>C0004</t>
  </si>
  <si>
    <t>七星(中淡)天藍</t>
  </si>
  <si>
    <t>C0005</t>
  </si>
  <si>
    <t>佳士達5毫克</t>
  </si>
  <si>
    <t>C0006</t>
  </si>
  <si>
    <t>峰Original</t>
  </si>
  <si>
    <t>C0007</t>
  </si>
  <si>
    <t>萬寶路Red</t>
  </si>
  <si>
    <t>MA00324</t>
  </si>
  <si>
    <t>-</t>
  </si>
  <si>
    <t>C0008</t>
  </si>
  <si>
    <t>萬寶路Gold</t>
  </si>
  <si>
    <t>00099</t>
  </si>
  <si>
    <t>台灣虎航 - 虎將陪你工作去</t>
  </si>
  <si>
    <t>MA00538</t>
  </si>
  <si>
    <t>SABON 經典暢銷護手霜禮盒</t>
  </si>
  <si>
    <t>SABON 迷你沐浴油禮盒</t>
  </si>
  <si>
    <t>SABON 迷你身體磨砂膏禮盒</t>
  </si>
  <si>
    <t>LA MER 經典乳霜 60ml</t>
  </si>
  <si>
    <t>需透過CAL下單</t>
  </si>
  <si>
    <t>LA MER 超能修護精華露 150ml</t>
  </si>
  <si>
    <t>資生堂百優精純乳霜75ml</t>
  </si>
  <si>
    <t>Shiseido</t>
  </si>
  <si>
    <t>資生堂紅妍山茶花修護精華 100ML</t>
  </si>
  <si>
    <t>Grounded頭皮護理油 60ML</t>
  </si>
  <si>
    <t>PUPA Pleasure 唇油 - 草莓甜心 5ml</t>
  </si>
  <si>
    <t>FOREO LUNA™ 4 go 隨行版淨透緊緻洗臉機(蜜桃紅)</t>
  </si>
  <si>
    <t>Coach Wild Rose 曠野玫瑰女性淡香精 50ml</t>
  </si>
  <si>
    <t>萬寶龍迷你香氛組 4.5ml x5</t>
  </si>
  <si>
    <t>萬寶龍 針式搭扣 Saffiano 印花 黑/藍 35毫米雙面皮帶</t>
  </si>
  <si>
    <t>QUDO ETERNA 珠寶套組(銀色)</t>
  </si>
  <si>
    <t>MA00496</t>
  </si>
  <si>
    <t>瑪莎拉蒂SUCCESSO系列男仕鋼款石英腕錶</t>
  </si>
  <si>
    <t>D</t>
  </si>
  <si>
    <t>Morellato 三角金邊手鍊</t>
  </si>
  <si>
    <t>Morellato 三角珍珠母貝耳環</t>
  </si>
  <si>
    <t>Paul Hewitt 淡水珍珠環保鋼材鍍金飾品限定組</t>
  </si>
  <si>
    <t>Travelmall 65W GaN PD 6 USB 高效能轉換插頭</t>
  </si>
  <si>
    <t>SUDIO E3 無線藍牙耳機-米白</t>
  </si>
  <si>
    <t>00110</t>
  </si>
  <si>
    <t>Sky Adventure 天然香氛禮盒</t>
  </si>
  <si>
    <t>MA00537</t>
  </si>
  <si>
    <t>補貨量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</si>
</sst>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??_);_(@_)"/>
    <numFmt numFmtId="177" formatCode="0.0"/>
  </numFmts>
  <fonts count="14">
    <font>
      <sz val="10"/>
      <color rgb="FF000000"/>
      <name val="Arial"/>
      <scheme val="minor"/>
    </font>
    <font>
      <b/>
      <sz val="12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b/>
      <sz val="10"/>
      <color theme="1"/>
      <name val="Noto Sans TC"/>
      <family val="2"/>
      <charset val="136"/>
    </font>
    <font>
      <sz val="10"/>
      <name val="Arial"/>
    </font>
    <font>
      <sz val="10"/>
      <color rgb="FF000000"/>
      <name val="&quot;Noto Sans TC&quot;"/>
    </font>
    <font>
      <sz val="10"/>
      <color theme="1"/>
      <name val="Arial"/>
      <family val="2"/>
      <scheme val="minor"/>
    </font>
    <font>
      <b/>
      <sz val="11"/>
      <color rgb="FFFF0000"/>
      <name val="Noto Sans TC"/>
      <family val="2"/>
      <charset val="136"/>
    </font>
    <font>
      <sz val="10"/>
      <color rgb="FFFF0000"/>
      <name val="Noto Sans TC"/>
      <family val="2"/>
      <charset val="136"/>
    </font>
    <font>
      <sz val="10"/>
      <color theme="1"/>
      <name val="&quot;Noto Sans TC&quot;"/>
    </font>
    <font>
      <sz val="10"/>
      <color rgb="FF000000"/>
      <name val="&quot;\0022Noto Sans TC\0022&quot;"/>
    </font>
    <font>
      <sz val="10"/>
      <color theme="1"/>
      <name val="Noto Sans TC"/>
      <family val="2"/>
      <charset val="136"/>
    </font>
    <font>
      <sz val="10"/>
      <color rgb="FFFF0000"/>
      <name val="Arial"/>
      <family val="2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6" fillId="0" borderId="0" xfId="0" applyNumberFormat="1" applyFont="1"/>
    <xf numFmtId="3" fontId="2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8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3" fontId="9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right"/>
    </xf>
    <xf numFmtId="176" fontId="11" fillId="0" borderId="0" xfId="0" applyNumberFormat="1" applyFont="1" applyAlignment="1">
      <alignment vertical="center"/>
    </xf>
    <xf numFmtId="177" fontId="2" fillId="0" borderId="0" xfId="0" applyNumberFormat="1" applyFont="1" applyAlignment="1">
      <alignment horizontal="right" vertical="center"/>
    </xf>
    <xf numFmtId="3" fontId="12" fillId="0" borderId="0" xfId="0" applyNumberFormat="1" applyFont="1"/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vertical="center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3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/>
    </xf>
    <xf numFmtId="177" fontId="11" fillId="0" borderId="0" xfId="0" applyNumberFormat="1" applyFont="1" applyAlignment="1">
      <alignment horizontal="right" vertical="center"/>
    </xf>
    <xf numFmtId="2" fontId="5" fillId="0" borderId="0" xfId="0" applyNumberFormat="1" applyFont="1"/>
    <xf numFmtId="0" fontId="5" fillId="0" borderId="0" xfId="0" applyFont="1" applyAlignment="1">
      <alignment horizontal="center"/>
    </xf>
    <xf numFmtId="1" fontId="6" fillId="0" borderId="0" xfId="0" applyNumberFormat="1" applyFont="1"/>
    <xf numFmtId="1" fontId="1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00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 outlineLevelCol="1"/>
  <cols>
    <col min="2" max="2" width="36.21875" customWidth="1"/>
    <col min="3" max="5" width="9.77734375" customWidth="1"/>
    <col min="15" max="21" width="12.6640625" outlineLevel="1"/>
    <col min="22" max="29" width="10.109375" customWidth="1" outlineLevel="1"/>
    <col min="30" max="34" width="12.6640625" outlineLevel="1"/>
  </cols>
  <sheetData>
    <row r="1" spans="1:41">
      <c r="A1" s="1" t="s">
        <v>0</v>
      </c>
      <c r="B1" s="2"/>
      <c r="C1" s="43" t="s">
        <v>1</v>
      </c>
      <c r="D1" s="44"/>
      <c r="E1" s="3"/>
      <c r="F1" s="3"/>
      <c r="G1" s="3"/>
      <c r="H1" s="3"/>
      <c r="I1" s="3"/>
      <c r="J1" s="3"/>
      <c r="K1" s="4"/>
      <c r="L1" s="3"/>
      <c r="M1" s="4"/>
      <c r="N1" s="2"/>
      <c r="O1" s="5"/>
      <c r="P1" s="6"/>
      <c r="Q1" s="2"/>
      <c r="R1" s="7"/>
      <c r="S1" s="2"/>
      <c r="T1" s="3"/>
      <c r="U1" s="3"/>
      <c r="V1" s="8"/>
      <c r="W1" s="3"/>
      <c r="X1" s="3"/>
      <c r="Y1" s="3"/>
      <c r="Z1" s="3"/>
      <c r="AA1" s="3"/>
      <c r="AB1" s="3"/>
      <c r="AC1" s="3"/>
      <c r="AD1" s="2"/>
      <c r="AE1" s="2"/>
      <c r="AF1" s="2"/>
      <c r="AG1" s="2"/>
      <c r="AH1" s="2"/>
      <c r="AI1" s="9"/>
      <c r="AJ1" s="9"/>
      <c r="AK1" s="10">
        <f>SUM(AK4:AK200)</f>
        <v>2143428.25</v>
      </c>
      <c r="AL1" s="10"/>
      <c r="AM1" s="10"/>
      <c r="AN1" s="10">
        <f>SUM(AN4:AN200)</f>
        <v>4905124.125</v>
      </c>
      <c r="AO1" s="10"/>
    </row>
    <row r="2" spans="1:41">
      <c r="A2" s="11" t="s">
        <v>2</v>
      </c>
      <c r="B2" s="2"/>
      <c r="C2" s="12" t="s">
        <v>3</v>
      </c>
      <c r="D2" s="3"/>
      <c r="E2" s="3"/>
      <c r="F2" s="3"/>
      <c r="G2" s="3"/>
      <c r="H2" s="3"/>
      <c r="I2" s="3"/>
      <c r="J2" s="3"/>
      <c r="K2" s="13" t="s">
        <v>4</v>
      </c>
      <c r="L2" s="14"/>
      <c r="M2" s="15"/>
      <c r="N2" s="2"/>
      <c r="O2" s="5"/>
      <c r="P2" s="6"/>
      <c r="Q2" s="2"/>
      <c r="R2" s="7" t="s">
        <v>5</v>
      </c>
      <c r="S2" s="2"/>
      <c r="T2" s="45" t="s">
        <v>6</v>
      </c>
      <c r="U2" s="46"/>
      <c r="V2" s="47" t="s">
        <v>7</v>
      </c>
      <c r="W2" s="46"/>
      <c r="X2" s="48" t="s">
        <v>8</v>
      </c>
      <c r="Y2" s="46"/>
      <c r="Z2" s="45" t="s">
        <v>9</v>
      </c>
      <c r="AA2" s="46"/>
      <c r="AB2" s="45" t="s">
        <v>10</v>
      </c>
      <c r="AC2" s="46"/>
      <c r="AD2" s="2"/>
      <c r="AE2" s="2"/>
      <c r="AF2" s="2"/>
      <c r="AG2" s="2"/>
      <c r="AH2" s="2"/>
      <c r="AI2" s="13" t="s">
        <v>4</v>
      </c>
      <c r="AJ2" s="16"/>
      <c r="AK2" s="16"/>
      <c r="AL2" s="16"/>
      <c r="AM2" s="16"/>
      <c r="AN2" s="16"/>
      <c r="AO2" s="16"/>
    </row>
    <row r="3" spans="1:41">
      <c r="A3" s="17" t="s">
        <v>11</v>
      </c>
      <c r="B3" s="17" t="s">
        <v>12</v>
      </c>
      <c r="C3" s="18" t="s">
        <v>13</v>
      </c>
      <c r="D3" s="18" t="s">
        <v>14</v>
      </c>
      <c r="E3" s="18" t="s">
        <v>15</v>
      </c>
      <c r="F3" s="18" t="s">
        <v>16</v>
      </c>
      <c r="G3" s="18" t="s">
        <v>17</v>
      </c>
      <c r="H3" s="18" t="s">
        <v>18</v>
      </c>
      <c r="I3" s="18" t="s">
        <v>19</v>
      </c>
      <c r="J3" s="18" t="s">
        <v>20</v>
      </c>
      <c r="K3" s="19" t="s">
        <v>21</v>
      </c>
      <c r="L3" s="18" t="s">
        <v>22</v>
      </c>
      <c r="M3" s="19" t="s">
        <v>23</v>
      </c>
      <c r="N3" s="18" t="s">
        <v>24</v>
      </c>
      <c r="O3" s="20" t="s">
        <v>25</v>
      </c>
      <c r="P3" s="18" t="s">
        <v>26</v>
      </c>
      <c r="Q3" s="17" t="s">
        <v>27</v>
      </c>
      <c r="R3" s="21" t="s">
        <v>28</v>
      </c>
      <c r="S3" s="17" t="s">
        <v>29</v>
      </c>
      <c r="T3" s="18" t="s">
        <v>30</v>
      </c>
      <c r="U3" s="18" t="s">
        <v>31</v>
      </c>
      <c r="V3" s="22" t="s">
        <v>32</v>
      </c>
      <c r="W3" s="17" t="s">
        <v>33</v>
      </c>
      <c r="X3" s="17" t="s">
        <v>32</v>
      </c>
      <c r="Y3" s="17" t="s">
        <v>33</v>
      </c>
      <c r="Z3" s="17" t="s">
        <v>32</v>
      </c>
      <c r="AA3" s="17" t="s">
        <v>33</v>
      </c>
      <c r="AB3" s="17" t="s">
        <v>32</v>
      </c>
      <c r="AC3" s="17" t="s">
        <v>33</v>
      </c>
      <c r="AD3" s="17" t="s">
        <v>34</v>
      </c>
      <c r="AE3" s="23" t="s">
        <v>35</v>
      </c>
      <c r="AF3" s="23" t="s">
        <v>36</v>
      </c>
      <c r="AG3" s="18" t="s">
        <v>37</v>
      </c>
      <c r="AH3" s="18" t="s">
        <v>38</v>
      </c>
      <c r="AI3" s="22" t="s">
        <v>39</v>
      </c>
      <c r="AJ3" s="22" t="s">
        <v>40</v>
      </c>
      <c r="AK3" s="22" t="s">
        <v>41</v>
      </c>
      <c r="AL3" s="22" t="s">
        <v>39</v>
      </c>
      <c r="AM3" s="22" t="s">
        <v>42</v>
      </c>
      <c r="AN3" s="22" t="s">
        <v>41</v>
      </c>
      <c r="AO3" s="22" t="s">
        <v>43</v>
      </c>
    </row>
    <row r="4" spans="1:41">
      <c r="A4" s="24" t="s">
        <v>44</v>
      </c>
      <c r="B4" s="2" t="s">
        <v>45</v>
      </c>
      <c r="C4" s="3" t="s">
        <v>46</v>
      </c>
      <c r="D4" s="3" t="s">
        <v>46</v>
      </c>
      <c r="E4" s="3" t="s">
        <v>46</v>
      </c>
      <c r="F4" s="3"/>
      <c r="G4" s="3" t="s">
        <v>47</v>
      </c>
      <c r="H4" s="3"/>
      <c r="I4" s="3" t="s">
        <v>48</v>
      </c>
      <c r="J4" s="3" t="s">
        <v>49</v>
      </c>
      <c r="K4" s="4">
        <v>3000</v>
      </c>
      <c r="L4" s="3"/>
      <c r="M4" s="4"/>
      <c r="N4" s="2">
        <v>5</v>
      </c>
      <c r="O4" s="5" t="s">
        <v>50</v>
      </c>
      <c r="P4" s="25">
        <v>21</v>
      </c>
      <c r="Q4" s="26">
        <f t="shared" ref="Q4:Q200" si="0">IF(O4="TWD",P4,
IF(O4="USD",P4*31.5,
IF(O4="JPY",P4*0.2,
IF(O4="EUR",P4*37,""))))</f>
        <v>21</v>
      </c>
      <c r="R4" s="27">
        <v>1.5</v>
      </c>
      <c r="S4" s="2"/>
      <c r="T4" s="2">
        <v>306</v>
      </c>
      <c r="U4" s="2"/>
      <c r="V4" s="10">
        <v>0</v>
      </c>
      <c r="W4" s="10">
        <v>0</v>
      </c>
      <c r="X4" s="10">
        <v>157</v>
      </c>
      <c r="Y4" s="10">
        <v>272</v>
      </c>
      <c r="Z4" s="2">
        <f t="shared" ref="Z4:AC4" si="1">_xlfn.RANK.EQ(V4,V$4:V$200)</f>
        <v>168</v>
      </c>
      <c r="AA4" s="2">
        <f t="shared" si="1"/>
        <v>190</v>
      </c>
      <c r="AB4" s="2">
        <f t="shared" si="1"/>
        <v>14</v>
      </c>
      <c r="AC4" s="2">
        <f t="shared" si="1"/>
        <v>6</v>
      </c>
      <c r="AD4" s="10">
        <f t="shared" ref="AD4:AD200" si="2">AVERAGE(X4:Y4)</f>
        <v>214.5</v>
      </c>
      <c r="AE4" s="10">
        <v>1219</v>
      </c>
      <c r="AF4" s="10">
        <f t="shared" ref="AF4:AF200" si="3">Y4</f>
        <v>272</v>
      </c>
      <c r="AG4" s="2"/>
      <c r="AH4" s="2"/>
      <c r="AI4" s="9">
        <f t="shared" ref="AI4:AI27" si="4">T4+MAX(AD4,AF4)*1.5</f>
        <v>714</v>
      </c>
      <c r="AJ4" s="10">
        <f t="shared" ref="AJ4:AJ71" si="5">IF(F4="V",0,
   IF(N4="",
      MAX(AI4-(AE4-AF4)-AG4-AH4,0),
      CEILING(MAX(AI4-(AE4-AF4)-AG4-AH4,0),N4)
   )
)</f>
        <v>0</v>
      </c>
      <c r="AK4" s="10">
        <f t="shared" ref="AK4:AK200" si="6">AJ4*Q4</f>
        <v>0</v>
      </c>
      <c r="AL4" s="9">
        <f t="shared" ref="AL4:AL27" si="7">T4+MAX(AD4,AF4)*R4</f>
        <v>714</v>
      </c>
      <c r="AM4" s="10">
        <f t="shared" ref="AM4:AM71" si="8">IF(F4="V",0,
   IF(N4="",
      MAX(AL4-(AE4-AF4)-AG4-AH4,0),
      CEILING(MAX(AL4-(AE4-AF4)-AG4-AH4,0),N4)
   )
)</f>
        <v>0</v>
      </c>
      <c r="AN4" s="10">
        <f t="shared" ref="AN4:AN200" si="9">AM4*Q4</f>
        <v>0</v>
      </c>
      <c r="AO4" s="10">
        <f t="shared" ref="AO4:AO200" si="10">AM4-AJ4</f>
        <v>0</v>
      </c>
    </row>
    <row r="5" spans="1:41">
      <c r="A5" s="3">
        <v>10225</v>
      </c>
      <c r="B5" s="2" t="s">
        <v>51</v>
      </c>
      <c r="C5" s="3" t="s">
        <v>46</v>
      </c>
      <c r="D5" s="3" t="s">
        <v>46</v>
      </c>
      <c r="E5" s="3" t="s">
        <v>46</v>
      </c>
      <c r="F5" s="3"/>
      <c r="G5" s="3" t="s">
        <v>52</v>
      </c>
      <c r="H5" s="3" t="s">
        <v>53</v>
      </c>
      <c r="I5" s="3" t="s">
        <v>54</v>
      </c>
      <c r="J5" s="3" t="s">
        <v>49</v>
      </c>
      <c r="K5" s="4"/>
      <c r="L5" s="3"/>
      <c r="M5" s="4"/>
      <c r="N5" s="2">
        <v>5</v>
      </c>
      <c r="O5" s="5" t="s">
        <v>55</v>
      </c>
      <c r="P5" s="25">
        <v>110.49</v>
      </c>
      <c r="Q5" s="26">
        <f t="shared" si="0"/>
        <v>3480.4349999999999</v>
      </c>
      <c r="R5" s="27">
        <v>2</v>
      </c>
      <c r="S5" s="2"/>
      <c r="T5" s="2">
        <v>173</v>
      </c>
      <c r="U5" s="2"/>
      <c r="V5" s="10">
        <v>204840</v>
      </c>
      <c r="W5" s="10">
        <v>430540</v>
      </c>
      <c r="X5" s="10">
        <v>45</v>
      </c>
      <c r="Y5" s="10">
        <v>94</v>
      </c>
      <c r="Z5" s="2">
        <f t="shared" ref="Z5:AC5" si="11">_xlfn.RANK.EQ(V5,V$4:V$200)</f>
        <v>9</v>
      </c>
      <c r="AA5" s="2">
        <f t="shared" si="11"/>
        <v>5</v>
      </c>
      <c r="AB5" s="2">
        <f t="shared" si="11"/>
        <v>68</v>
      </c>
      <c r="AC5" s="2">
        <f t="shared" si="11"/>
        <v>36</v>
      </c>
      <c r="AD5" s="10">
        <f t="shared" si="2"/>
        <v>69.5</v>
      </c>
      <c r="AE5" s="2">
        <v>230</v>
      </c>
      <c r="AF5" s="10">
        <f t="shared" si="3"/>
        <v>94</v>
      </c>
      <c r="AG5" s="2">
        <v>250</v>
      </c>
      <c r="AH5" s="2"/>
      <c r="AI5" s="9">
        <f t="shared" si="4"/>
        <v>314</v>
      </c>
      <c r="AJ5" s="10">
        <f t="shared" si="5"/>
        <v>0</v>
      </c>
      <c r="AK5" s="10">
        <f t="shared" si="6"/>
        <v>0</v>
      </c>
      <c r="AL5" s="9">
        <f t="shared" si="7"/>
        <v>361</v>
      </c>
      <c r="AM5" s="10">
        <f t="shared" si="8"/>
        <v>0</v>
      </c>
      <c r="AN5" s="10">
        <f t="shared" si="9"/>
        <v>0</v>
      </c>
      <c r="AO5" s="10">
        <f t="shared" si="10"/>
        <v>0</v>
      </c>
    </row>
    <row r="6" spans="1:41">
      <c r="A6" s="3">
        <v>10226</v>
      </c>
      <c r="B6" s="2" t="s">
        <v>56</v>
      </c>
      <c r="C6" s="3" t="s">
        <v>46</v>
      </c>
      <c r="D6" s="3" t="s">
        <v>46</v>
      </c>
      <c r="E6" s="3" t="s">
        <v>46</v>
      </c>
      <c r="F6" s="3"/>
      <c r="G6" s="3" t="s">
        <v>52</v>
      </c>
      <c r="H6" s="3" t="s">
        <v>53</v>
      </c>
      <c r="I6" s="3" t="s">
        <v>54</v>
      </c>
      <c r="J6" s="3" t="s">
        <v>49</v>
      </c>
      <c r="K6" s="4"/>
      <c r="L6" s="3"/>
      <c r="M6" s="4"/>
      <c r="N6" s="2">
        <v>5</v>
      </c>
      <c r="O6" s="5" t="s">
        <v>55</v>
      </c>
      <c r="P6" s="25">
        <v>90.77</v>
      </c>
      <c r="Q6" s="26">
        <f t="shared" si="0"/>
        <v>2859.2549999999997</v>
      </c>
      <c r="R6" s="27">
        <v>2</v>
      </c>
      <c r="S6" s="2"/>
      <c r="T6" s="2">
        <v>51</v>
      </c>
      <c r="U6" s="2"/>
      <c r="V6" s="10">
        <v>59765</v>
      </c>
      <c r="W6" s="10">
        <v>86526</v>
      </c>
      <c r="X6" s="10">
        <v>16</v>
      </c>
      <c r="Y6" s="10">
        <v>23</v>
      </c>
      <c r="Z6" s="2">
        <f t="shared" ref="Z6:AC6" si="12">_xlfn.RANK.EQ(V6,V$4:V$200)</f>
        <v>74</v>
      </c>
      <c r="AA6" s="2">
        <f t="shared" si="12"/>
        <v>59</v>
      </c>
      <c r="AB6" s="2">
        <f t="shared" si="12"/>
        <v>123</v>
      </c>
      <c r="AC6" s="2">
        <f t="shared" si="12"/>
        <v>122</v>
      </c>
      <c r="AD6" s="10">
        <f t="shared" si="2"/>
        <v>19.5</v>
      </c>
      <c r="AE6" s="2">
        <v>150</v>
      </c>
      <c r="AF6" s="10">
        <f t="shared" si="3"/>
        <v>23</v>
      </c>
      <c r="AG6" s="2">
        <v>72</v>
      </c>
      <c r="AH6" s="2">
        <v>50</v>
      </c>
      <c r="AI6" s="9">
        <f t="shared" si="4"/>
        <v>85.5</v>
      </c>
      <c r="AJ6" s="10">
        <f t="shared" si="5"/>
        <v>0</v>
      </c>
      <c r="AK6" s="10">
        <f t="shared" si="6"/>
        <v>0</v>
      </c>
      <c r="AL6" s="9">
        <f t="shared" si="7"/>
        <v>97</v>
      </c>
      <c r="AM6" s="10">
        <f t="shared" si="8"/>
        <v>0</v>
      </c>
      <c r="AN6" s="10">
        <f t="shared" si="9"/>
        <v>0</v>
      </c>
      <c r="AO6" s="10">
        <f t="shared" si="10"/>
        <v>0</v>
      </c>
    </row>
    <row r="7" spans="1:41">
      <c r="A7" s="3">
        <v>10285</v>
      </c>
      <c r="B7" s="2" t="s">
        <v>57</v>
      </c>
      <c r="C7" s="3" t="s">
        <v>46</v>
      </c>
      <c r="D7" s="3" t="s">
        <v>46</v>
      </c>
      <c r="E7" s="3" t="s">
        <v>46</v>
      </c>
      <c r="F7" s="3"/>
      <c r="G7" s="3" t="s">
        <v>52</v>
      </c>
      <c r="H7" s="3" t="s">
        <v>58</v>
      </c>
      <c r="I7" s="3" t="s">
        <v>54</v>
      </c>
      <c r="J7" s="3" t="s">
        <v>49</v>
      </c>
      <c r="K7" s="4"/>
      <c r="L7" s="3"/>
      <c r="M7" s="4"/>
      <c r="N7" s="2">
        <v>5</v>
      </c>
      <c r="O7" s="5" t="s">
        <v>55</v>
      </c>
      <c r="P7" s="25">
        <v>106.7</v>
      </c>
      <c r="Q7" s="26">
        <f t="shared" si="0"/>
        <v>3361.05</v>
      </c>
      <c r="R7" s="27">
        <v>2</v>
      </c>
      <c r="S7" s="2"/>
      <c r="T7" s="2">
        <v>102</v>
      </c>
      <c r="U7" s="2"/>
      <c r="V7" s="10">
        <v>177468</v>
      </c>
      <c r="W7" s="10">
        <v>289712</v>
      </c>
      <c r="X7" s="10">
        <v>38</v>
      </c>
      <c r="Y7" s="10">
        <v>62</v>
      </c>
      <c r="Z7" s="2">
        <f t="shared" ref="Z7:AC7" si="13">_xlfn.RANK.EQ(V7,V$4:V$200)</f>
        <v>12</v>
      </c>
      <c r="AA7" s="2">
        <f t="shared" si="13"/>
        <v>7</v>
      </c>
      <c r="AB7" s="2">
        <f t="shared" si="13"/>
        <v>83</v>
      </c>
      <c r="AC7" s="2">
        <f t="shared" si="13"/>
        <v>53</v>
      </c>
      <c r="AD7" s="10">
        <f t="shared" si="2"/>
        <v>50</v>
      </c>
      <c r="AE7" s="2">
        <v>139</v>
      </c>
      <c r="AF7" s="10">
        <f t="shared" si="3"/>
        <v>62</v>
      </c>
      <c r="AG7" s="2">
        <v>55</v>
      </c>
      <c r="AI7" s="9">
        <f t="shared" si="4"/>
        <v>195</v>
      </c>
      <c r="AJ7" s="10">
        <f t="shared" si="5"/>
        <v>65</v>
      </c>
      <c r="AK7" s="10">
        <f t="shared" si="6"/>
        <v>218468.25</v>
      </c>
      <c r="AL7" s="9">
        <f t="shared" si="7"/>
        <v>226</v>
      </c>
      <c r="AM7" s="10">
        <f t="shared" si="8"/>
        <v>95</v>
      </c>
      <c r="AN7" s="10">
        <f t="shared" si="9"/>
        <v>319299.75</v>
      </c>
      <c r="AO7" s="10">
        <f t="shared" si="10"/>
        <v>30</v>
      </c>
    </row>
    <row r="8" spans="1:41">
      <c r="A8" s="3">
        <v>10184</v>
      </c>
      <c r="B8" s="2" t="s">
        <v>59</v>
      </c>
      <c r="C8" s="3" t="s">
        <v>46</v>
      </c>
      <c r="D8" s="3" t="s">
        <v>46</v>
      </c>
      <c r="E8" s="3" t="s">
        <v>60</v>
      </c>
      <c r="F8" s="3" t="s">
        <v>61</v>
      </c>
      <c r="G8" s="3" t="s">
        <v>62</v>
      </c>
      <c r="H8" s="3" t="s">
        <v>58</v>
      </c>
      <c r="I8" s="3" t="s">
        <v>63</v>
      </c>
      <c r="J8" s="3" t="s">
        <v>49</v>
      </c>
      <c r="K8" s="4"/>
      <c r="L8" s="3"/>
      <c r="M8" s="4"/>
      <c r="N8" s="2">
        <v>5</v>
      </c>
      <c r="O8" s="5" t="s">
        <v>55</v>
      </c>
      <c r="P8" s="25">
        <v>53.28</v>
      </c>
      <c r="Q8" s="26">
        <f t="shared" si="0"/>
        <v>1678.32</v>
      </c>
      <c r="R8" s="27">
        <v>1.5</v>
      </c>
      <c r="S8" s="2"/>
      <c r="T8" s="2">
        <v>51</v>
      </c>
      <c r="U8" s="2"/>
      <c r="V8" s="10">
        <v>66305</v>
      </c>
      <c r="W8" s="10">
        <v>99660</v>
      </c>
      <c r="X8" s="10">
        <v>26</v>
      </c>
      <c r="Y8" s="10">
        <v>39</v>
      </c>
      <c r="Z8" s="2">
        <f t="shared" ref="Z8:AC8" si="14">_xlfn.RANK.EQ(V8,V$4:V$200)</f>
        <v>62</v>
      </c>
      <c r="AA8" s="2">
        <f t="shared" si="14"/>
        <v>51</v>
      </c>
      <c r="AB8" s="2">
        <f t="shared" si="14"/>
        <v>102</v>
      </c>
      <c r="AC8" s="2">
        <f t="shared" si="14"/>
        <v>92</v>
      </c>
      <c r="AD8" s="10">
        <f t="shared" si="2"/>
        <v>32.5</v>
      </c>
      <c r="AE8" s="2">
        <v>119</v>
      </c>
      <c r="AF8" s="10">
        <f t="shared" si="3"/>
        <v>39</v>
      </c>
      <c r="AG8" s="2"/>
      <c r="AH8" s="2"/>
      <c r="AI8" s="9">
        <f t="shared" si="4"/>
        <v>109.5</v>
      </c>
      <c r="AJ8" s="10">
        <f t="shared" si="5"/>
        <v>0</v>
      </c>
      <c r="AK8" s="10">
        <f t="shared" si="6"/>
        <v>0</v>
      </c>
      <c r="AL8" s="9">
        <f t="shared" si="7"/>
        <v>109.5</v>
      </c>
      <c r="AM8" s="10">
        <f t="shared" si="8"/>
        <v>0</v>
      </c>
      <c r="AN8" s="10">
        <f t="shared" si="9"/>
        <v>0</v>
      </c>
      <c r="AO8" s="10">
        <f t="shared" si="10"/>
        <v>0</v>
      </c>
    </row>
    <row r="9" spans="1:41">
      <c r="A9" s="3">
        <v>10424</v>
      </c>
      <c r="B9" s="2" t="s">
        <v>64</v>
      </c>
      <c r="C9" s="3" t="s">
        <v>46</v>
      </c>
      <c r="D9" s="3" t="s">
        <v>46</v>
      </c>
      <c r="E9" s="3" t="s">
        <v>46</v>
      </c>
      <c r="F9" s="3"/>
      <c r="G9" s="3" t="s">
        <v>52</v>
      </c>
      <c r="H9" s="3" t="s">
        <v>58</v>
      </c>
      <c r="I9" s="3" t="s">
        <v>54</v>
      </c>
      <c r="J9" s="3" t="s">
        <v>49</v>
      </c>
      <c r="K9" s="4"/>
      <c r="L9" s="3"/>
      <c r="M9" s="4"/>
      <c r="N9" s="2">
        <v>5</v>
      </c>
      <c r="O9" s="5" t="s">
        <v>55</v>
      </c>
      <c r="P9" s="25">
        <v>43.45</v>
      </c>
      <c r="Q9" s="26">
        <f t="shared" si="0"/>
        <v>1368.6750000000002</v>
      </c>
      <c r="R9" s="27">
        <v>2</v>
      </c>
      <c r="S9" s="2"/>
      <c r="T9" s="2">
        <v>112</v>
      </c>
      <c r="U9" s="2"/>
      <c r="V9" s="10">
        <v>210431</v>
      </c>
      <c r="W9" s="10">
        <v>223626</v>
      </c>
      <c r="X9" s="10">
        <v>111</v>
      </c>
      <c r="Y9" s="10">
        <v>118</v>
      </c>
      <c r="Z9" s="2">
        <f t="shared" ref="Z9:AC9" si="15">_xlfn.RANK.EQ(V9,V$4:V$200)</f>
        <v>8</v>
      </c>
      <c r="AA9" s="2">
        <f t="shared" si="15"/>
        <v>11</v>
      </c>
      <c r="AB9" s="2">
        <f t="shared" si="15"/>
        <v>24</v>
      </c>
      <c r="AC9" s="2">
        <f t="shared" si="15"/>
        <v>26</v>
      </c>
      <c r="AD9" s="10">
        <f t="shared" si="2"/>
        <v>114.5</v>
      </c>
      <c r="AE9" s="2">
        <v>751</v>
      </c>
      <c r="AF9" s="10">
        <f t="shared" si="3"/>
        <v>118</v>
      </c>
      <c r="AG9" s="2"/>
      <c r="AH9" s="2"/>
      <c r="AI9" s="9">
        <f t="shared" si="4"/>
        <v>289</v>
      </c>
      <c r="AJ9" s="10">
        <f t="shared" si="5"/>
        <v>0</v>
      </c>
      <c r="AK9" s="10">
        <f t="shared" si="6"/>
        <v>0</v>
      </c>
      <c r="AL9" s="9">
        <f t="shared" si="7"/>
        <v>348</v>
      </c>
      <c r="AM9" s="10">
        <f t="shared" si="8"/>
        <v>0</v>
      </c>
      <c r="AN9" s="10">
        <f t="shared" si="9"/>
        <v>0</v>
      </c>
      <c r="AO9" s="10">
        <f t="shared" si="10"/>
        <v>0</v>
      </c>
    </row>
    <row r="10" spans="1:41">
      <c r="A10" s="3">
        <v>10419</v>
      </c>
      <c r="B10" s="2" t="s">
        <v>65</v>
      </c>
      <c r="C10" s="3" t="s">
        <v>46</v>
      </c>
      <c r="D10" s="3" t="s">
        <v>46</v>
      </c>
      <c r="E10" s="3" t="s">
        <v>46</v>
      </c>
      <c r="F10" s="3"/>
      <c r="G10" s="3" t="s">
        <v>52</v>
      </c>
      <c r="H10" s="3" t="s">
        <v>58</v>
      </c>
      <c r="I10" s="3" t="s">
        <v>54</v>
      </c>
      <c r="J10" s="3" t="s">
        <v>49</v>
      </c>
      <c r="K10" s="4"/>
      <c r="L10" s="3"/>
      <c r="M10" s="4"/>
      <c r="N10" s="2">
        <v>5</v>
      </c>
      <c r="O10" s="5" t="s">
        <v>55</v>
      </c>
      <c r="P10" s="25">
        <v>24.75</v>
      </c>
      <c r="Q10" s="26">
        <f t="shared" si="0"/>
        <v>779.625</v>
      </c>
      <c r="R10" s="27">
        <v>2</v>
      </c>
      <c r="S10" s="2"/>
      <c r="T10" s="2">
        <v>102</v>
      </c>
      <c r="U10" s="2"/>
      <c r="V10" s="10">
        <v>57388</v>
      </c>
      <c r="W10" s="10">
        <v>91791</v>
      </c>
      <c r="X10" s="10">
        <v>53</v>
      </c>
      <c r="Y10" s="10">
        <v>85</v>
      </c>
      <c r="Z10" s="2">
        <f t="shared" ref="Z10:AC10" si="16">_xlfn.RANK.EQ(V10,V$4:V$200)</f>
        <v>80</v>
      </c>
      <c r="AA10" s="2">
        <f t="shared" si="16"/>
        <v>56</v>
      </c>
      <c r="AB10" s="2">
        <f t="shared" si="16"/>
        <v>58</v>
      </c>
      <c r="AC10" s="2">
        <f t="shared" si="16"/>
        <v>41</v>
      </c>
      <c r="AD10" s="10">
        <f t="shared" si="2"/>
        <v>69</v>
      </c>
      <c r="AE10" s="2">
        <v>622</v>
      </c>
      <c r="AF10" s="10">
        <f t="shared" si="3"/>
        <v>85</v>
      </c>
      <c r="AG10" s="2"/>
      <c r="AH10" s="2"/>
      <c r="AI10" s="9">
        <f t="shared" si="4"/>
        <v>229.5</v>
      </c>
      <c r="AJ10" s="10">
        <f t="shared" si="5"/>
        <v>0</v>
      </c>
      <c r="AK10" s="10">
        <f t="shared" si="6"/>
        <v>0</v>
      </c>
      <c r="AL10" s="9">
        <f t="shared" si="7"/>
        <v>272</v>
      </c>
      <c r="AM10" s="10">
        <f t="shared" si="8"/>
        <v>0</v>
      </c>
      <c r="AN10" s="10">
        <f t="shared" si="9"/>
        <v>0</v>
      </c>
      <c r="AO10" s="10">
        <f t="shared" si="10"/>
        <v>0</v>
      </c>
    </row>
    <row r="11" spans="1:41">
      <c r="A11" s="3">
        <v>10420</v>
      </c>
      <c r="B11" s="2" t="s">
        <v>66</v>
      </c>
      <c r="C11" s="3" t="s">
        <v>46</v>
      </c>
      <c r="D11" s="3" t="s">
        <v>46</v>
      </c>
      <c r="E11" s="3" t="s">
        <v>46</v>
      </c>
      <c r="F11" s="3"/>
      <c r="G11" s="3" t="s">
        <v>52</v>
      </c>
      <c r="H11" s="3" t="s">
        <v>58</v>
      </c>
      <c r="I11" s="3" t="s">
        <v>54</v>
      </c>
      <c r="J11" s="3" t="s">
        <v>49</v>
      </c>
      <c r="K11" s="4"/>
      <c r="L11" s="3"/>
      <c r="M11" s="4"/>
      <c r="N11" s="2">
        <v>5</v>
      </c>
      <c r="O11" s="5" t="s">
        <v>55</v>
      </c>
      <c r="P11" s="25">
        <v>33.549999999999997</v>
      </c>
      <c r="Q11" s="26">
        <f t="shared" si="0"/>
        <v>1056.8249999999998</v>
      </c>
      <c r="R11" s="27">
        <v>2</v>
      </c>
      <c r="S11" s="2"/>
      <c r="T11" s="2">
        <v>102</v>
      </c>
      <c r="U11" s="2"/>
      <c r="V11" s="10">
        <v>71542</v>
      </c>
      <c r="W11" s="10">
        <v>83411</v>
      </c>
      <c r="X11" s="10">
        <v>49</v>
      </c>
      <c r="Y11" s="10">
        <v>57</v>
      </c>
      <c r="Z11" s="2">
        <f t="shared" ref="Z11:AC11" si="17">_xlfn.RANK.EQ(V11,V$4:V$200)</f>
        <v>58</v>
      </c>
      <c r="AA11" s="2">
        <f t="shared" si="17"/>
        <v>61</v>
      </c>
      <c r="AB11" s="2">
        <f t="shared" si="17"/>
        <v>61</v>
      </c>
      <c r="AC11" s="2">
        <f t="shared" si="17"/>
        <v>65</v>
      </c>
      <c r="AD11" s="10">
        <f t="shared" si="2"/>
        <v>53</v>
      </c>
      <c r="AE11" s="2">
        <v>259</v>
      </c>
      <c r="AF11" s="10">
        <f t="shared" si="3"/>
        <v>57</v>
      </c>
      <c r="AG11" s="2"/>
      <c r="AH11" s="2"/>
      <c r="AI11" s="9">
        <f t="shared" si="4"/>
        <v>187.5</v>
      </c>
      <c r="AJ11" s="10">
        <f t="shared" si="5"/>
        <v>0</v>
      </c>
      <c r="AK11" s="10">
        <f t="shared" si="6"/>
        <v>0</v>
      </c>
      <c r="AL11" s="9">
        <f t="shared" si="7"/>
        <v>216</v>
      </c>
      <c r="AM11" s="10">
        <f t="shared" si="8"/>
        <v>15</v>
      </c>
      <c r="AN11" s="10">
        <f t="shared" si="9"/>
        <v>15852.374999999996</v>
      </c>
      <c r="AO11" s="10">
        <f t="shared" si="10"/>
        <v>15</v>
      </c>
    </row>
    <row r="12" spans="1:41">
      <c r="A12" s="3">
        <v>10421</v>
      </c>
      <c r="B12" s="2" t="s">
        <v>67</v>
      </c>
      <c r="C12" s="3" t="s">
        <v>46</v>
      </c>
      <c r="D12" s="3" t="s">
        <v>46</v>
      </c>
      <c r="E12" s="3" t="s">
        <v>46</v>
      </c>
      <c r="F12" s="3"/>
      <c r="G12" s="3" t="s">
        <v>52</v>
      </c>
      <c r="H12" s="3" t="s">
        <v>58</v>
      </c>
      <c r="I12" s="3" t="s">
        <v>54</v>
      </c>
      <c r="J12" s="3" t="s">
        <v>49</v>
      </c>
      <c r="K12" s="4"/>
      <c r="L12" s="3"/>
      <c r="M12" s="4"/>
      <c r="N12" s="2">
        <v>5</v>
      </c>
      <c r="O12" s="5" t="s">
        <v>55</v>
      </c>
      <c r="P12" s="25">
        <v>19.8</v>
      </c>
      <c r="Q12" s="26">
        <f t="shared" si="0"/>
        <v>623.70000000000005</v>
      </c>
      <c r="R12" s="27">
        <v>2</v>
      </c>
      <c r="S12" s="2"/>
      <c r="T12" s="2">
        <v>102</v>
      </c>
      <c r="U12" s="2"/>
      <c r="V12" s="10">
        <v>105650</v>
      </c>
      <c r="W12" s="10">
        <v>116949</v>
      </c>
      <c r="X12" s="10">
        <v>123</v>
      </c>
      <c r="Y12" s="10">
        <v>136</v>
      </c>
      <c r="Z12" s="2">
        <f t="shared" ref="Z12:AC12" si="18">_xlfn.RANK.EQ(V12,V$4:V$200)</f>
        <v>38</v>
      </c>
      <c r="AA12" s="2">
        <f t="shared" si="18"/>
        <v>42</v>
      </c>
      <c r="AB12" s="2">
        <f t="shared" si="18"/>
        <v>19</v>
      </c>
      <c r="AC12" s="2">
        <f t="shared" si="18"/>
        <v>22</v>
      </c>
      <c r="AD12" s="10">
        <f t="shared" si="2"/>
        <v>129.5</v>
      </c>
      <c r="AE12" s="2">
        <v>929</v>
      </c>
      <c r="AF12" s="10">
        <f t="shared" si="3"/>
        <v>136</v>
      </c>
      <c r="AG12" s="2"/>
      <c r="AH12" s="2"/>
      <c r="AI12" s="9">
        <f t="shared" si="4"/>
        <v>306</v>
      </c>
      <c r="AJ12" s="10">
        <f t="shared" si="5"/>
        <v>0</v>
      </c>
      <c r="AK12" s="10">
        <f t="shared" si="6"/>
        <v>0</v>
      </c>
      <c r="AL12" s="9">
        <f t="shared" si="7"/>
        <v>374</v>
      </c>
      <c r="AM12" s="10">
        <f t="shared" si="8"/>
        <v>0</v>
      </c>
      <c r="AN12" s="10">
        <f t="shared" si="9"/>
        <v>0</v>
      </c>
      <c r="AO12" s="10">
        <f t="shared" si="10"/>
        <v>0</v>
      </c>
    </row>
    <row r="13" spans="1:41">
      <c r="A13" s="3">
        <v>10023</v>
      </c>
      <c r="B13" s="2" t="s">
        <v>68</v>
      </c>
      <c r="C13" s="3" t="s">
        <v>46</v>
      </c>
      <c r="D13" s="3" t="s">
        <v>46</v>
      </c>
      <c r="E13" s="3" t="s">
        <v>60</v>
      </c>
      <c r="F13" s="3" t="s">
        <v>61</v>
      </c>
      <c r="G13" s="3" t="s">
        <v>52</v>
      </c>
      <c r="H13" s="3" t="s">
        <v>69</v>
      </c>
      <c r="I13" s="3" t="s">
        <v>54</v>
      </c>
      <c r="J13" s="3" t="s">
        <v>49</v>
      </c>
      <c r="K13" s="4"/>
      <c r="L13" s="3" t="s">
        <v>55</v>
      </c>
      <c r="M13" s="4">
        <v>7000</v>
      </c>
      <c r="N13" s="2">
        <v>5</v>
      </c>
      <c r="O13" s="5" t="s">
        <v>55</v>
      </c>
      <c r="P13" s="25">
        <v>63.96</v>
      </c>
      <c r="Q13" s="26">
        <f t="shared" si="0"/>
        <v>2014.74</v>
      </c>
      <c r="R13" s="27">
        <v>2</v>
      </c>
      <c r="S13" s="2"/>
      <c r="T13" s="2">
        <v>51</v>
      </c>
      <c r="U13" s="2"/>
      <c r="V13" s="10">
        <v>20216</v>
      </c>
      <c r="W13" s="10">
        <v>37256</v>
      </c>
      <c r="X13" s="10">
        <v>7</v>
      </c>
      <c r="Y13" s="10">
        <v>13</v>
      </c>
      <c r="Z13" s="2">
        <f t="shared" ref="Z13:AC13" si="19">_xlfn.RANK.EQ(V13,V$4:V$200)</f>
        <v>141</v>
      </c>
      <c r="AA13" s="2">
        <f t="shared" si="19"/>
        <v>127</v>
      </c>
      <c r="AB13" s="2">
        <f t="shared" si="19"/>
        <v>157</v>
      </c>
      <c r="AC13" s="2">
        <f t="shared" si="19"/>
        <v>157</v>
      </c>
      <c r="AD13" s="10">
        <f t="shared" si="2"/>
        <v>10</v>
      </c>
      <c r="AE13" s="2">
        <v>260</v>
      </c>
      <c r="AF13" s="10">
        <f t="shared" si="3"/>
        <v>13</v>
      </c>
      <c r="AG13" s="2"/>
      <c r="AH13" s="2"/>
      <c r="AI13" s="9">
        <f t="shared" si="4"/>
        <v>70.5</v>
      </c>
      <c r="AJ13" s="10">
        <f t="shared" si="5"/>
        <v>0</v>
      </c>
      <c r="AK13" s="10">
        <f t="shared" si="6"/>
        <v>0</v>
      </c>
      <c r="AL13" s="9">
        <f t="shared" si="7"/>
        <v>77</v>
      </c>
      <c r="AM13" s="10">
        <f t="shared" si="8"/>
        <v>0</v>
      </c>
      <c r="AN13" s="10">
        <f t="shared" si="9"/>
        <v>0</v>
      </c>
      <c r="AO13" s="10">
        <f t="shared" si="10"/>
        <v>0</v>
      </c>
    </row>
    <row r="14" spans="1:41">
      <c r="A14" s="3">
        <v>10028</v>
      </c>
      <c r="B14" s="2" t="s">
        <v>70</v>
      </c>
      <c r="C14" s="3" t="s">
        <v>46</v>
      </c>
      <c r="D14" s="3" t="s">
        <v>46</v>
      </c>
      <c r="E14" s="3" t="s">
        <v>46</v>
      </c>
      <c r="F14" s="3"/>
      <c r="G14" s="3" t="s">
        <v>52</v>
      </c>
      <c r="H14" s="3" t="s">
        <v>69</v>
      </c>
      <c r="I14" s="3" t="s">
        <v>54</v>
      </c>
      <c r="J14" s="3" t="s">
        <v>49</v>
      </c>
      <c r="K14" s="4"/>
      <c r="L14" s="3" t="s">
        <v>55</v>
      </c>
      <c r="M14" s="4">
        <v>7000</v>
      </c>
      <c r="N14" s="2">
        <v>5</v>
      </c>
      <c r="O14" s="5" t="s">
        <v>55</v>
      </c>
      <c r="P14" s="25">
        <v>29.07</v>
      </c>
      <c r="Q14" s="26">
        <f t="shared" si="0"/>
        <v>915.70500000000004</v>
      </c>
      <c r="R14" s="27">
        <v>2</v>
      </c>
      <c r="S14" s="2"/>
      <c r="T14" s="2">
        <v>51</v>
      </c>
      <c r="U14" s="2"/>
      <c r="V14" s="10">
        <v>60951</v>
      </c>
      <c r="W14" s="10">
        <v>60341</v>
      </c>
      <c r="X14" s="10">
        <v>46</v>
      </c>
      <c r="Y14" s="10">
        <v>46</v>
      </c>
      <c r="Z14" s="2">
        <f t="shared" ref="Z14:AC14" si="20">_xlfn.RANK.EQ(V14,V$4:V$200)</f>
        <v>73</v>
      </c>
      <c r="AA14" s="2">
        <f t="shared" si="20"/>
        <v>92</v>
      </c>
      <c r="AB14" s="2">
        <f t="shared" si="20"/>
        <v>65</v>
      </c>
      <c r="AC14" s="2">
        <f t="shared" si="20"/>
        <v>81</v>
      </c>
      <c r="AD14" s="10">
        <f t="shared" si="2"/>
        <v>46</v>
      </c>
      <c r="AE14" s="2">
        <v>221</v>
      </c>
      <c r="AF14" s="10">
        <f t="shared" si="3"/>
        <v>46</v>
      </c>
      <c r="AG14" s="2">
        <v>73</v>
      </c>
      <c r="AH14" s="2"/>
      <c r="AI14" s="9">
        <f t="shared" si="4"/>
        <v>120</v>
      </c>
      <c r="AJ14" s="10">
        <f t="shared" si="5"/>
        <v>0</v>
      </c>
      <c r="AK14" s="10">
        <f t="shared" si="6"/>
        <v>0</v>
      </c>
      <c r="AL14" s="9">
        <f t="shared" si="7"/>
        <v>143</v>
      </c>
      <c r="AM14" s="10">
        <f t="shared" si="8"/>
        <v>0</v>
      </c>
      <c r="AN14" s="10">
        <f t="shared" si="9"/>
        <v>0</v>
      </c>
      <c r="AO14" s="10">
        <f t="shared" si="10"/>
        <v>0</v>
      </c>
    </row>
    <row r="15" spans="1:41">
      <c r="A15" s="3">
        <v>10134</v>
      </c>
      <c r="B15" s="2" t="s">
        <v>71</v>
      </c>
      <c r="C15" s="3" t="s">
        <v>46</v>
      </c>
      <c r="D15" s="3" t="s">
        <v>46</v>
      </c>
      <c r="E15" s="3" t="s">
        <v>46</v>
      </c>
      <c r="F15" s="3"/>
      <c r="G15" s="3" t="s">
        <v>52</v>
      </c>
      <c r="H15" s="3" t="s">
        <v>69</v>
      </c>
      <c r="I15" s="3" t="s">
        <v>54</v>
      </c>
      <c r="J15" s="3" t="s">
        <v>49</v>
      </c>
      <c r="K15" s="4"/>
      <c r="L15" s="3" t="s">
        <v>55</v>
      </c>
      <c r="M15" s="4">
        <v>7000</v>
      </c>
      <c r="N15" s="2">
        <v>5</v>
      </c>
      <c r="O15" s="5" t="s">
        <v>55</v>
      </c>
      <c r="P15" s="25">
        <v>54.1</v>
      </c>
      <c r="Q15" s="26">
        <f t="shared" si="0"/>
        <v>1704.15</v>
      </c>
      <c r="R15" s="27">
        <v>2</v>
      </c>
      <c r="S15" s="2"/>
      <c r="T15" s="2">
        <v>102</v>
      </c>
      <c r="U15" s="2"/>
      <c r="V15" s="10">
        <v>115062</v>
      </c>
      <c r="W15" s="10">
        <v>119942</v>
      </c>
      <c r="X15" s="10">
        <v>47</v>
      </c>
      <c r="Y15" s="10">
        <v>49</v>
      </c>
      <c r="Z15" s="2">
        <f t="shared" ref="Z15:AC15" si="21">_xlfn.RANK.EQ(V15,V$4:V$200)</f>
        <v>30</v>
      </c>
      <c r="AA15" s="2">
        <f t="shared" si="21"/>
        <v>40</v>
      </c>
      <c r="AB15" s="2">
        <f t="shared" si="21"/>
        <v>62</v>
      </c>
      <c r="AC15" s="2">
        <f t="shared" si="21"/>
        <v>75</v>
      </c>
      <c r="AD15" s="10">
        <f t="shared" si="2"/>
        <v>48</v>
      </c>
      <c r="AE15" s="2">
        <v>264</v>
      </c>
      <c r="AF15" s="10">
        <f t="shared" si="3"/>
        <v>49</v>
      </c>
      <c r="AG15" s="2"/>
      <c r="AH15" s="2"/>
      <c r="AI15" s="9">
        <f t="shared" si="4"/>
        <v>175.5</v>
      </c>
      <c r="AJ15" s="10">
        <f t="shared" si="5"/>
        <v>0</v>
      </c>
      <c r="AK15" s="10">
        <f t="shared" si="6"/>
        <v>0</v>
      </c>
      <c r="AL15" s="9">
        <f t="shared" si="7"/>
        <v>200</v>
      </c>
      <c r="AM15" s="10">
        <f t="shared" si="8"/>
        <v>0</v>
      </c>
      <c r="AN15" s="10">
        <f t="shared" si="9"/>
        <v>0</v>
      </c>
      <c r="AO15" s="10">
        <f t="shared" si="10"/>
        <v>0</v>
      </c>
    </row>
    <row r="16" spans="1:41">
      <c r="A16" s="3">
        <v>10068</v>
      </c>
      <c r="B16" s="2" t="s">
        <v>72</v>
      </c>
      <c r="C16" s="3" t="s">
        <v>46</v>
      </c>
      <c r="D16" s="3" t="s">
        <v>46</v>
      </c>
      <c r="E16" s="3" t="s">
        <v>46</v>
      </c>
      <c r="F16" s="3"/>
      <c r="G16" s="3" t="s">
        <v>52</v>
      </c>
      <c r="H16" s="3" t="s">
        <v>53</v>
      </c>
      <c r="I16" s="3" t="s">
        <v>54</v>
      </c>
      <c r="J16" s="3" t="s">
        <v>49</v>
      </c>
      <c r="K16" s="4"/>
      <c r="L16" s="3"/>
      <c r="M16" s="4"/>
      <c r="N16" s="2">
        <v>5</v>
      </c>
      <c r="O16" s="5" t="s">
        <v>55</v>
      </c>
      <c r="P16" s="25">
        <v>44.08</v>
      </c>
      <c r="Q16" s="26">
        <f t="shared" si="0"/>
        <v>1388.52</v>
      </c>
      <c r="R16" s="27">
        <v>2</v>
      </c>
      <c r="S16" s="2"/>
      <c r="T16" s="2">
        <v>51</v>
      </c>
      <c r="U16" s="2"/>
      <c r="V16" s="10">
        <v>36474</v>
      </c>
      <c r="W16" s="10">
        <v>34917</v>
      </c>
      <c r="X16" s="10">
        <v>20</v>
      </c>
      <c r="Y16" s="10">
        <v>19</v>
      </c>
      <c r="Z16" s="2">
        <f t="shared" ref="Z16:AC16" si="22">_xlfn.RANK.EQ(V16,V$4:V$200)</f>
        <v>110</v>
      </c>
      <c r="AA16" s="2">
        <f t="shared" si="22"/>
        <v>129</v>
      </c>
      <c r="AB16" s="2">
        <f t="shared" si="22"/>
        <v>115</v>
      </c>
      <c r="AC16" s="2">
        <f t="shared" si="22"/>
        <v>135</v>
      </c>
      <c r="AD16" s="10">
        <f t="shared" si="2"/>
        <v>19.5</v>
      </c>
      <c r="AE16" s="2">
        <v>92</v>
      </c>
      <c r="AF16" s="10">
        <f t="shared" si="3"/>
        <v>19</v>
      </c>
      <c r="AG16" s="2"/>
      <c r="AH16" s="2"/>
      <c r="AI16" s="9">
        <f t="shared" si="4"/>
        <v>80.25</v>
      </c>
      <c r="AJ16" s="10">
        <f t="shared" si="5"/>
        <v>10</v>
      </c>
      <c r="AK16" s="10">
        <f t="shared" si="6"/>
        <v>13885.2</v>
      </c>
      <c r="AL16" s="9">
        <f t="shared" si="7"/>
        <v>90</v>
      </c>
      <c r="AM16" s="10">
        <f t="shared" si="8"/>
        <v>20</v>
      </c>
      <c r="AN16" s="10">
        <f t="shared" si="9"/>
        <v>27770.400000000001</v>
      </c>
      <c r="AO16" s="10">
        <f t="shared" si="10"/>
        <v>10</v>
      </c>
    </row>
    <row r="17" spans="1:41">
      <c r="A17" s="3">
        <v>10127</v>
      </c>
      <c r="B17" s="2" t="s">
        <v>73</v>
      </c>
      <c r="C17" s="3" t="s">
        <v>46</v>
      </c>
      <c r="D17" s="3" t="s">
        <v>46</v>
      </c>
      <c r="E17" s="3" t="s">
        <v>46</v>
      </c>
      <c r="F17" s="3"/>
      <c r="G17" s="3" t="s">
        <v>52</v>
      </c>
      <c r="H17" s="3" t="s">
        <v>53</v>
      </c>
      <c r="I17" s="3" t="s">
        <v>54</v>
      </c>
      <c r="J17" s="3" t="s">
        <v>49</v>
      </c>
      <c r="K17" s="4"/>
      <c r="L17" s="3"/>
      <c r="M17" s="4"/>
      <c r="N17" s="2">
        <v>5</v>
      </c>
      <c r="O17" s="5" t="s">
        <v>55</v>
      </c>
      <c r="P17" s="25">
        <v>17.11</v>
      </c>
      <c r="Q17" s="26">
        <f t="shared" si="0"/>
        <v>538.96500000000003</v>
      </c>
      <c r="R17" s="27">
        <v>2</v>
      </c>
      <c r="S17" s="2"/>
      <c r="T17" s="2">
        <v>51</v>
      </c>
      <c r="U17" s="2"/>
      <c r="V17" s="10">
        <v>32442</v>
      </c>
      <c r="W17" s="10">
        <v>38296</v>
      </c>
      <c r="X17" s="10">
        <v>45</v>
      </c>
      <c r="Y17" s="10">
        <v>53</v>
      </c>
      <c r="Z17" s="2">
        <f t="shared" ref="Z17:AC17" si="23">_xlfn.RANK.EQ(V17,V$4:V$200)</f>
        <v>116</v>
      </c>
      <c r="AA17" s="2">
        <f t="shared" si="23"/>
        <v>126</v>
      </c>
      <c r="AB17" s="2">
        <f t="shared" si="23"/>
        <v>68</v>
      </c>
      <c r="AC17" s="2">
        <f t="shared" si="23"/>
        <v>68</v>
      </c>
      <c r="AD17" s="10">
        <f t="shared" si="2"/>
        <v>49</v>
      </c>
      <c r="AE17" s="2">
        <v>129</v>
      </c>
      <c r="AF17" s="10">
        <f t="shared" si="3"/>
        <v>53</v>
      </c>
      <c r="AG17" s="2"/>
      <c r="AH17" s="2"/>
      <c r="AI17" s="9">
        <f t="shared" si="4"/>
        <v>130.5</v>
      </c>
      <c r="AJ17" s="10">
        <f t="shared" si="5"/>
        <v>55</v>
      </c>
      <c r="AK17" s="10">
        <f t="shared" si="6"/>
        <v>29643.075000000001</v>
      </c>
      <c r="AL17" s="9">
        <f t="shared" si="7"/>
        <v>157</v>
      </c>
      <c r="AM17" s="10">
        <f t="shared" si="8"/>
        <v>85</v>
      </c>
      <c r="AN17" s="10">
        <f t="shared" si="9"/>
        <v>45812.025000000001</v>
      </c>
      <c r="AO17" s="10">
        <f t="shared" si="10"/>
        <v>30</v>
      </c>
    </row>
    <row r="18" spans="1:41">
      <c r="A18" s="3">
        <v>10102</v>
      </c>
      <c r="B18" s="2" t="s">
        <v>74</v>
      </c>
      <c r="C18" s="3" t="s">
        <v>46</v>
      </c>
      <c r="D18" s="3" t="s">
        <v>46</v>
      </c>
      <c r="E18" s="3" t="s">
        <v>46</v>
      </c>
      <c r="F18" s="3"/>
      <c r="G18" s="3" t="s">
        <v>75</v>
      </c>
      <c r="H18" s="3"/>
      <c r="I18" s="3" t="s">
        <v>48</v>
      </c>
      <c r="J18" s="3" t="s">
        <v>49</v>
      </c>
      <c r="K18" s="4"/>
      <c r="L18" s="3" t="s">
        <v>55</v>
      </c>
      <c r="M18" s="4">
        <v>3000</v>
      </c>
      <c r="N18" s="2">
        <v>5</v>
      </c>
      <c r="O18" s="5" t="s">
        <v>55</v>
      </c>
      <c r="P18" s="25">
        <v>33.369999999999997</v>
      </c>
      <c r="Q18" s="26">
        <f t="shared" si="0"/>
        <v>1051.155</v>
      </c>
      <c r="R18" s="27">
        <v>1.5</v>
      </c>
      <c r="S18" s="2"/>
      <c r="T18" s="2">
        <v>51</v>
      </c>
      <c r="U18" s="2"/>
      <c r="V18" s="10">
        <v>39846</v>
      </c>
      <c r="W18" s="10">
        <v>19301</v>
      </c>
      <c r="X18" s="10">
        <v>23</v>
      </c>
      <c r="Y18" s="10">
        <v>11</v>
      </c>
      <c r="Z18" s="2">
        <f t="shared" ref="Z18:AC18" si="24">_xlfn.RANK.EQ(V18,V$4:V$200)</f>
        <v>107</v>
      </c>
      <c r="AA18" s="2">
        <f t="shared" si="24"/>
        <v>163</v>
      </c>
      <c r="AB18" s="2">
        <f t="shared" si="24"/>
        <v>111</v>
      </c>
      <c r="AC18" s="2">
        <f t="shared" si="24"/>
        <v>166</v>
      </c>
      <c r="AD18" s="10">
        <f t="shared" si="2"/>
        <v>17</v>
      </c>
      <c r="AE18" s="2">
        <v>63</v>
      </c>
      <c r="AF18" s="10">
        <f t="shared" si="3"/>
        <v>11</v>
      </c>
      <c r="AG18" s="2"/>
      <c r="AH18" s="2">
        <v>90</v>
      </c>
      <c r="AI18" s="9">
        <f t="shared" si="4"/>
        <v>76.5</v>
      </c>
      <c r="AJ18" s="10">
        <f t="shared" si="5"/>
        <v>0</v>
      </c>
      <c r="AK18" s="10">
        <f t="shared" si="6"/>
        <v>0</v>
      </c>
      <c r="AL18" s="9">
        <f t="shared" si="7"/>
        <v>76.5</v>
      </c>
      <c r="AM18" s="10">
        <f t="shared" si="8"/>
        <v>0</v>
      </c>
      <c r="AN18" s="10">
        <f t="shared" si="9"/>
        <v>0</v>
      </c>
      <c r="AO18" s="10">
        <f t="shared" si="10"/>
        <v>0</v>
      </c>
    </row>
    <row r="19" spans="1:41">
      <c r="A19" s="3">
        <v>10103</v>
      </c>
      <c r="B19" s="2" t="s">
        <v>76</v>
      </c>
      <c r="C19" s="3" t="s">
        <v>46</v>
      </c>
      <c r="D19" s="3" t="s">
        <v>46</v>
      </c>
      <c r="E19" s="3" t="s">
        <v>60</v>
      </c>
      <c r="F19" s="3" t="s">
        <v>61</v>
      </c>
      <c r="G19" s="3" t="s">
        <v>75</v>
      </c>
      <c r="H19" s="3"/>
      <c r="I19" s="3" t="s">
        <v>48</v>
      </c>
      <c r="J19" s="3" t="s">
        <v>49</v>
      </c>
      <c r="K19" s="4"/>
      <c r="L19" s="3" t="s">
        <v>55</v>
      </c>
      <c r="M19" s="4">
        <v>3000</v>
      </c>
      <c r="N19" s="2">
        <v>5</v>
      </c>
      <c r="O19" s="5" t="s">
        <v>55</v>
      </c>
      <c r="P19" s="25">
        <v>33.369999999999997</v>
      </c>
      <c r="Q19" s="26">
        <f t="shared" si="0"/>
        <v>1051.155</v>
      </c>
      <c r="R19" s="27">
        <v>1.5</v>
      </c>
      <c r="S19" s="2"/>
      <c r="T19" s="2">
        <v>51</v>
      </c>
      <c r="U19" s="2"/>
      <c r="V19" s="10">
        <v>10266</v>
      </c>
      <c r="W19" s="10">
        <v>22533</v>
      </c>
      <c r="X19" s="10">
        <v>6</v>
      </c>
      <c r="Y19" s="10">
        <v>13</v>
      </c>
      <c r="Z19" s="2">
        <f t="shared" ref="Z19:AC19" si="25">_xlfn.RANK.EQ(V19,V$4:V$200)</f>
        <v>158</v>
      </c>
      <c r="AA19" s="2">
        <f t="shared" si="25"/>
        <v>159</v>
      </c>
      <c r="AB19" s="2">
        <f t="shared" si="25"/>
        <v>161</v>
      </c>
      <c r="AC19" s="2">
        <f t="shared" si="25"/>
        <v>157</v>
      </c>
      <c r="AD19" s="10">
        <f t="shared" si="2"/>
        <v>9.5</v>
      </c>
      <c r="AE19" s="2">
        <v>112</v>
      </c>
      <c r="AF19" s="10">
        <f t="shared" si="3"/>
        <v>13</v>
      </c>
      <c r="AG19" s="2"/>
      <c r="AH19" s="2"/>
      <c r="AI19" s="9">
        <f t="shared" si="4"/>
        <v>70.5</v>
      </c>
      <c r="AJ19" s="10">
        <f t="shared" si="5"/>
        <v>0</v>
      </c>
      <c r="AK19" s="10">
        <f t="shared" si="6"/>
        <v>0</v>
      </c>
      <c r="AL19" s="9">
        <f t="shared" si="7"/>
        <v>70.5</v>
      </c>
      <c r="AM19" s="10">
        <f t="shared" si="8"/>
        <v>0</v>
      </c>
      <c r="AN19" s="10">
        <f t="shared" si="9"/>
        <v>0</v>
      </c>
      <c r="AO19" s="10">
        <f t="shared" si="10"/>
        <v>0</v>
      </c>
    </row>
    <row r="20" spans="1:41">
      <c r="A20" s="3">
        <v>10278</v>
      </c>
      <c r="B20" s="2" t="s">
        <v>77</v>
      </c>
      <c r="C20" s="3" t="s">
        <v>46</v>
      </c>
      <c r="D20" s="3" t="s">
        <v>46</v>
      </c>
      <c r="E20" s="3" t="s">
        <v>46</v>
      </c>
      <c r="F20" s="3"/>
      <c r="G20" s="3" t="s">
        <v>52</v>
      </c>
      <c r="H20" s="3" t="s">
        <v>58</v>
      </c>
      <c r="I20" s="3" t="s">
        <v>54</v>
      </c>
      <c r="J20" s="3" t="s">
        <v>49</v>
      </c>
      <c r="K20" s="4"/>
      <c r="L20" s="3"/>
      <c r="M20" s="4"/>
      <c r="N20" s="2">
        <v>5</v>
      </c>
      <c r="O20" s="5" t="s">
        <v>55</v>
      </c>
      <c r="P20" s="25">
        <v>91.85</v>
      </c>
      <c r="Q20" s="26">
        <f t="shared" si="0"/>
        <v>2893.2749999999996</v>
      </c>
      <c r="R20" s="27">
        <v>2</v>
      </c>
      <c r="S20" s="2"/>
      <c r="T20" s="2">
        <v>102</v>
      </c>
      <c r="U20" s="2"/>
      <c r="V20" s="10">
        <v>155100</v>
      </c>
      <c r="W20" s="10">
        <v>232057</v>
      </c>
      <c r="X20" s="10">
        <v>39</v>
      </c>
      <c r="Y20" s="10">
        <v>58</v>
      </c>
      <c r="Z20" s="2">
        <f t="shared" ref="Z20:AC20" si="26">_xlfn.RANK.EQ(V20,V$4:V$200)</f>
        <v>14</v>
      </c>
      <c r="AA20" s="2">
        <f t="shared" si="26"/>
        <v>10</v>
      </c>
      <c r="AB20" s="2">
        <f t="shared" si="26"/>
        <v>78</v>
      </c>
      <c r="AC20" s="2">
        <f t="shared" si="26"/>
        <v>62</v>
      </c>
      <c r="AD20" s="10">
        <f t="shared" si="2"/>
        <v>48.5</v>
      </c>
      <c r="AE20" s="2">
        <v>546</v>
      </c>
      <c r="AF20" s="10">
        <f t="shared" si="3"/>
        <v>58</v>
      </c>
      <c r="AG20" s="2"/>
      <c r="AH20" s="2"/>
      <c r="AI20" s="9">
        <f t="shared" si="4"/>
        <v>189</v>
      </c>
      <c r="AJ20" s="10">
        <f t="shared" si="5"/>
        <v>0</v>
      </c>
      <c r="AK20" s="10">
        <f t="shared" si="6"/>
        <v>0</v>
      </c>
      <c r="AL20" s="9">
        <f t="shared" si="7"/>
        <v>218</v>
      </c>
      <c r="AM20" s="10">
        <f t="shared" si="8"/>
        <v>0</v>
      </c>
      <c r="AN20" s="10">
        <f t="shared" si="9"/>
        <v>0</v>
      </c>
      <c r="AO20" s="10">
        <f t="shared" si="10"/>
        <v>0</v>
      </c>
    </row>
    <row r="21" spans="1:41">
      <c r="A21" s="3">
        <v>10276</v>
      </c>
      <c r="B21" s="2" t="s">
        <v>78</v>
      </c>
      <c r="C21" s="3" t="s">
        <v>46</v>
      </c>
      <c r="D21" s="3" t="s">
        <v>46</v>
      </c>
      <c r="E21" s="3" t="s">
        <v>46</v>
      </c>
      <c r="F21" s="3"/>
      <c r="G21" s="3" t="s">
        <v>52</v>
      </c>
      <c r="H21" s="3" t="s">
        <v>58</v>
      </c>
      <c r="I21" s="3" t="s">
        <v>54</v>
      </c>
      <c r="J21" s="3" t="s">
        <v>49</v>
      </c>
      <c r="K21" s="4"/>
      <c r="L21" s="3"/>
      <c r="M21" s="4"/>
      <c r="N21" s="2">
        <v>5</v>
      </c>
      <c r="O21" s="5" t="s">
        <v>55</v>
      </c>
      <c r="P21" s="25">
        <v>42.35</v>
      </c>
      <c r="Q21" s="26">
        <f t="shared" si="0"/>
        <v>1334.0250000000001</v>
      </c>
      <c r="R21" s="27">
        <v>2</v>
      </c>
      <c r="S21" s="2"/>
      <c r="T21" s="2">
        <v>102</v>
      </c>
      <c r="U21" s="2"/>
      <c r="V21" s="10">
        <v>105922</v>
      </c>
      <c r="W21" s="10">
        <v>127348</v>
      </c>
      <c r="X21" s="10">
        <v>55</v>
      </c>
      <c r="Y21" s="10">
        <v>66</v>
      </c>
      <c r="Z21" s="2">
        <f t="shared" ref="Z21:AC21" si="27">_xlfn.RANK.EQ(V21,V$4:V$200)</f>
        <v>37</v>
      </c>
      <c r="AA21" s="2">
        <f t="shared" si="27"/>
        <v>36</v>
      </c>
      <c r="AB21" s="2">
        <f t="shared" si="27"/>
        <v>55</v>
      </c>
      <c r="AC21" s="2">
        <f t="shared" si="27"/>
        <v>50</v>
      </c>
      <c r="AD21" s="10">
        <f t="shared" si="2"/>
        <v>60.5</v>
      </c>
      <c r="AE21" s="2">
        <v>438</v>
      </c>
      <c r="AF21" s="10">
        <f t="shared" si="3"/>
        <v>66</v>
      </c>
      <c r="AG21" s="2"/>
      <c r="AH21" s="2"/>
      <c r="AI21" s="9">
        <f t="shared" si="4"/>
        <v>201</v>
      </c>
      <c r="AJ21" s="10">
        <f t="shared" si="5"/>
        <v>0</v>
      </c>
      <c r="AK21" s="10">
        <f t="shared" si="6"/>
        <v>0</v>
      </c>
      <c r="AL21" s="9">
        <f t="shared" si="7"/>
        <v>234</v>
      </c>
      <c r="AM21" s="10">
        <f t="shared" si="8"/>
        <v>0</v>
      </c>
      <c r="AN21" s="10">
        <f t="shared" si="9"/>
        <v>0</v>
      </c>
      <c r="AO21" s="10">
        <f t="shared" si="10"/>
        <v>0</v>
      </c>
    </row>
    <row r="22" spans="1:41">
      <c r="A22" s="3">
        <v>10277</v>
      </c>
      <c r="B22" s="2" t="s">
        <v>79</v>
      </c>
      <c r="C22" s="3" t="s">
        <v>46</v>
      </c>
      <c r="D22" s="3" t="s">
        <v>46</v>
      </c>
      <c r="E22" s="3" t="s">
        <v>46</v>
      </c>
      <c r="F22" s="3" t="s">
        <v>61</v>
      </c>
      <c r="G22" s="3" t="s">
        <v>52</v>
      </c>
      <c r="H22" s="3" t="s">
        <v>58</v>
      </c>
      <c r="I22" s="3" t="s">
        <v>54</v>
      </c>
      <c r="J22" s="3" t="s">
        <v>49</v>
      </c>
      <c r="K22" s="4"/>
      <c r="L22" s="3"/>
      <c r="M22" s="4"/>
      <c r="N22" s="2">
        <v>5</v>
      </c>
      <c r="O22" s="5" t="s">
        <v>55</v>
      </c>
      <c r="P22" s="25">
        <v>33.549999999999997</v>
      </c>
      <c r="Q22" s="26">
        <f t="shared" si="0"/>
        <v>1056.8249999999998</v>
      </c>
      <c r="R22" s="27">
        <v>2</v>
      </c>
      <c r="S22" s="2"/>
      <c r="T22" s="2">
        <v>51</v>
      </c>
      <c r="U22" s="2"/>
      <c r="V22" s="10">
        <v>29312</v>
      </c>
      <c r="W22" s="10">
        <v>33756</v>
      </c>
      <c r="X22" s="10">
        <v>19</v>
      </c>
      <c r="Y22" s="10">
        <v>22</v>
      </c>
      <c r="Z22" s="2">
        <f t="shared" ref="Z22:AC22" si="28">_xlfn.RANK.EQ(V22,V$4:V$200)</f>
        <v>123</v>
      </c>
      <c r="AA22" s="2">
        <f t="shared" si="28"/>
        <v>132</v>
      </c>
      <c r="AB22" s="2">
        <f t="shared" si="28"/>
        <v>118</v>
      </c>
      <c r="AC22" s="2">
        <f t="shared" si="28"/>
        <v>124</v>
      </c>
      <c r="AD22" s="10">
        <f t="shared" si="2"/>
        <v>20.5</v>
      </c>
      <c r="AE22" s="2">
        <v>262</v>
      </c>
      <c r="AF22" s="10">
        <f t="shared" si="3"/>
        <v>22</v>
      </c>
      <c r="AG22" s="2"/>
      <c r="AH22" s="2"/>
      <c r="AI22" s="9">
        <f t="shared" si="4"/>
        <v>84</v>
      </c>
      <c r="AJ22" s="10">
        <f t="shared" si="5"/>
        <v>0</v>
      </c>
      <c r="AK22" s="10">
        <f t="shared" si="6"/>
        <v>0</v>
      </c>
      <c r="AL22" s="9">
        <f t="shared" si="7"/>
        <v>95</v>
      </c>
      <c r="AM22" s="10">
        <f t="shared" si="8"/>
        <v>0</v>
      </c>
      <c r="AN22" s="10">
        <f t="shared" si="9"/>
        <v>0</v>
      </c>
      <c r="AO22" s="10">
        <f t="shared" si="10"/>
        <v>0</v>
      </c>
    </row>
    <row r="23" spans="1:41">
      <c r="A23" s="3">
        <v>10106</v>
      </c>
      <c r="B23" s="2" t="s">
        <v>80</v>
      </c>
      <c r="C23" s="3" t="s">
        <v>46</v>
      </c>
      <c r="D23" s="3" t="s">
        <v>46</v>
      </c>
      <c r="E23" s="3" t="s">
        <v>46</v>
      </c>
      <c r="F23" s="3"/>
      <c r="G23" s="3" t="s">
        <v>52</v>
      </c>
      <c r="H23" s="3"/>
      <c r="I23" s="3" t="s">
        <v>54</v>
      </c>
      <c r="J23" s="3" t="s">
        <v>49</v>
      </c>
      <c r="K23" s="4"/>
      <c r="L23" s="3" t="s">
        <v>55</v>
      </c>
      <c r="M23" s="4">
        <v>5000</v>
      </c>
      <c r="N23" s="2">
        <v>5</v>
      </c>
      <c r="O23" s="5" t="s">
        <v>55</v>
      </c>
      <c r="P23" s="25">
        <v>42.54</v>
      </c>
      <c r="Q23" s="26">
        <f t="shared" si="0"/>
        <v>1340.01</v>
      </c>
      <c r="R23" s="27">
        <v>2</v>
      </c>
      <c r="S23" s="2"/>
      <c r="T23" s="2">
        <v>51</v>
      </c>
      <c r="U23" s="2"/>
      <c r="V23" s="10">
        <v>53682</v>
      </c>
      <c r="W23" s="10">
        <v>49532</v>
      </c>
      <c r="X23" s="10">
        <v>25</v>
      </c>
      <c r="Y23" s="10">
        <v>23</v>
      </c>
      <c r="Z23" s="2">
        <f t="shared" ref="Z23:AC23" si="29">_xlfn.RANK.EQ(V23,V$4:V$200)</f>
        <v>86</v>
      </c>
      <c r="AA23" s="2">
        <f t="shared" si="29"/>
        <v>105</v>
      </c>
      <c r="AB23" s="2">
        <f t="shared" si="29"/>
        <v>106</v>
      </c>
      <c r="AC23" s="2">
        <f t="shared" si="29"/>
        <v>122</v>
      </c>
      <c r="AD23" s="10">
        <f t="shared" si="2"/>
        <v>24</v>
      </c>
      <c r="AE23" s="2">
        <v>109</v>
      </c>
      <c r="AF23" s="10">
        <f t="shared" si="3"/>
        <v>23</v>
      </c>
      <c r="AG23" s="2"/>
      <c r="AH23" s="2"/>
      <c r="AI23" s="9">
        <f t="shared" si="4"/>
        <v>87</v>
      </c>
      <c r="AJ23" s="10">
        <f t="shared" si="5"/>
        <v>5</v>
      </c>
      <c r="AK23" s="10">
        <f t="shared" si="6"/>
        <v>6700.05</v>
      </c>
      <c r="AL23" s="9">
        <f t="shared" si="7"/>
        <v>99</v>
      </c>
      <c r="AM23" s="10">
        <f t="shared" si="8"/>
        <v>15</v>
      </c>
      <c r="AN23" s="10">
        <f t="shared" si="9"/>
        <v>20100.150000000001</v>
      </c>
      <c r="AO23" s="10">
        <f t="shared" si="10"/>
        <v>10</v>
      </c>
    </row>
    <row r="24" spans="1:41">
      <c r="A24" s="3">
        <v>10105</v>
      </c>
      <c r="B24" s="2" t="s">
        <v>81</v>
      </c>
      <c r="C24" s="3" t="s">
        <v>46</v>
      </c>
      <c r="D24" s="3" t="s">
        <v>46</v>
      </c>
      <c r="E24" s="3" t="s">
        <v>60</v>
      </c>
      <c r="F24" s="3" t="s">
        <v>61</v>
      </c>
      <c r="G24" s="3" t="s">
        <v>52</v>
      </c>
      <c r="H24" s="3"/>
      <c r="I24" s="3" t="s">
        <v>54</v>
      </c>
      <c r="J24" s="3" t="s">
        <v>49</v>
      </c>
      <c r="K24" s="4"/>
      <c r="L24" s="3" t="s">
        <v>55</v>
      </c>
      <c r="M24" s="4">
        <v>5000</v>
      </c>
      <c r="N24" s="2">
        <v>5</v>
      </c>
      <c r="O24" s="5" t="s">
        <v>55</v>
      </c>
      <c r="P24" s="25">
        <v>56.15</v>
      </c>
      <c r="Q24" s="26">
        <f t="shared" si="0"/>
        <v>1768.7249999999999</v>
      </c>
      <c r="R24" s="27">
        <v>2</v>
      </c>
      <c r="S24" s="2"/>
      <c r="T24" s="2">
        <v>51</v>
      </c>
      <c r="U24" s="2"/>
      <c r="V24" s="10">
        <v>91958</v>
      </c>
      <c r="W24" s="10">
        <v>70239</v>
      </c>
      <c r="X24" s="10">
        <v>33</v>
      </c>
      <c r="Y24" s="10">
        <v>25</v>
      </c>
      <c r="Z24" s="2">
        <f t="shared" ref="Z24:AC24" si="30">_xlfn.RANK.EQ(V24,V$4:V$200)</f>
        <v>47</v>
      </c>
      <c r="AA24" s="2">
        <f t="shared" si="30"/>
        <v>79</v>
      </c>
      <c r="AB24" s="2">
        <f t="shared" si="30"/>
        <v>92</v>
      </c>
      <c r="AC24" s="2">
        <f t="shared" si="30"/>
        <v>116</v>
      </c>
      <c r="AD24" s="10">
        <f t="shared" si="2"/>
        <v>29</v>
      </c>
      <c r="AE24" s="2">
        <v>65</v>
      </c>
      <c r="AF24" s="10">
        <f t="shared" si="3"/>
        <v>25</v>
      </c>
      <c r="AG24" s="2"/>
      <c r="AH24" s="2"/>
      <c r="AI24" s="9">
        <f t="shared" si="4"/>
        <v>94.5</v>
      </c>
      <c r="AJ24" s="10">
        <f t="shared" si="5"/>
        <v>0</v>
      </c>
      <c r="AK24" s="10">
        <f t="shared" si="6"/>
        <v>0</v>
      </c>
      <c r="AL24" s="9">
        <f t="shared" si="7"/>
        <v>109</v>
      </c>
      <c r="AM24" s="10">
        <f t="shared" si="8"/>
        <v>0</v>
      </c>
      <c r="AN24" s="10">
        <f t="shared" si="9"/>
        <v>0</v>
      </c>
      <c r="AO24" s="10">
        <f t="shared" si="10"/>
        <v>0</v>
      </c>
    </row>
    <row r="25" spans="1:41">
      <c r="A25" s="3">
        <v>10274</v>
      </c>
      <c r="B25" s="2" t="s">
        <v>82</v>
      </c>
      <c r="C25" s="3" t="s">
        <v>46</v>
      </c>
      <c r="D25" s="3" t="s">
        <v>46</v>
      </c>
      <c r="E25" s="3" t="s">
        <v>46</v>
      </c>
      <c r="F25" s="3"/>
      <c r="G25" s="3" t="s">
        <v>75</v>
      </c>
      <c r="H25" s="3" t="s">
        <v>83</v>
      </c>
      <c r="I25" s="3" t="s">
        <v>48</v>
      </c>
      <c r="J25" s="3" t="s">
        <v>49</v>
      </c>
      <c r="K25" s="4"/>
      <c r="L25" s="3" t="s">
        <v>55</v>
      </c>
      <c r="M25" s="4">
        <v>6000</v>
      </c>
      <c r="N25" s="2">
        <v>5</v>
      </c>
      <c r="O25" s="5" t="s">
        <v>55</v>
      </c>
      <c r="P25" s="25">
        <v>30.5</v>
      </c>
      <c r="Q25" s="26">
        <f t="shared" si="0"/>
        <v>960.75</v>
      </c>
      <c r="R25" s="27">
        <v>1.5</v>
      </c>
      <c r="S25" s="2"/>
      <c r="T25" s="2">
        <v>153</v>
      </c>
      <c r="U25" s="2"/>
      <c r="V25" s="10">
        <v>64164</v>
      </c>
      <c r="W25" s="10">
        <v>55601</v>
      </c>
      <c r="X25" s="10">
        <v>44</v>
      </c>
      <c r="Y25" s="10">
        <v>38</v>
      </c>
      <c r="Z25" s="2">
        <f t="shared" ref="Z25:AC25" si="31">_xlfn.RANK.EQ(V25,V$4:V$200)</f>
        <v>65</v>
      </c>
      <c r="AA25" s="2">
        <f t="shared" si="31"/>
        <v>96</v>
      </c>
      <c r="AB25" s="2">
        <f t="shared" si="31"/>
        <v>70</v>
      </c>
      <c r="AC25" s="2">
        <f t="shared" si="31"/>
        <v>93</v>
      </c>
      <c r="AD25" s="10">
        <f t="shared" si="2"/>
        <v>41</v>
      </c>
      <c r="AE25" s="2">
        <v>288</v>
      </c>
      <c r="AF25" s="10">
        <f t="shared" si="3"/>
        <v>38</v>
      </c>
      <c r="AG25" s="2"/>
      <c r="AH25" s="2">
        <v>150</v>
      </c>
      <c r="AI25" s="9">
        <f t="shared" si="4"/>
        <v>214.5</v>
      </c>
      <c r="AJ25" s="10">
        <f t="shared" si="5"/>
        <v>0</v>
      </c>
      <c r="AK25" s="10">
        <f t="shared" si="6"/>
        <v>0</v>
      </c>
      <c r="AL25" s="9">
        <f t="shared" si="7"/>
        <v>214.5</v>
      </c>
      <c r="AM25" s="10">
        <f t="shared" si="8"/>
        <v>0</v>
      </c>
      <c r="AN25" s="10">
        <f t="shared" si="9"/>
        <v>0</v>
      </c>
      <c r="AO25" s="10">
        <f t="shared" si="10"/>
        <v>0</v>
      </c>
    </row>
    <row r="26" spans="1:41">
      <c r="A26" s="3">
        <v>10271</v>
      </c>
      <c r="B26" s="2" t="s">
        <v>84</v>
      </c>
      <c r="C26" s="3" t="s">
        <v>46</v>
      </c>
      <c r="D26" s="3" t="s">
        <v>46</v>
      </c>
      <c r="E26" s="3" t="s">
        <v>46</v>
      </c>
      <c r="F26" s="3"/>
      <c r="G26" s="3" t="s">
        <v>75</v>
      </c>
      <c r="H26" s="3" t="s">
        <v>83</v>
      </c>
      <c r="I26" s="3" t="s">
        <v>48</v>
      </c>
      <c r="J26" s="3" t="s">
        <v>49</v>
      </c>
      <c r="K26" s="4"/>
      <c r="L26" s="3" t="s">
        <v>55</v>
      </c>
      <c r="M26" s="4">
        <v>6000</v>
      </c>
      <c r="N26" s="2">
        <v>5</v>
      </c>
      <c r="O26" s="5" t="s">
        <v>55</v>
      </c>
      <c r="P26" s="25">
        <v>19</v>
      </c>
      <c r="Q26" s="26">
        <f t="shared" si="0"/>
        <v>598.5</v>
      </c>
      <c r="R26" s="27">
        <v>1.5</v>
      </c>
      <c r="S26" s="2"/>
      <c r="T26" s="2">
        <v>51</v>
      </c>
      <c r="U26" s="2"/>
      <c r="V26" s="10">
        <v>57500</v>
      </c>
      <c r="W26" s="10">
        <v>50124</v>
      </c>
      <c r="X26" s="10">
        <v>62</v>
      </c>
      <c r="Y26" s="10">
        <v>55</v>
      </c>
      <c r="Z26" s="2">
        <f t="shared" ref="Z26:AC26" si="32">_xlfn.RANK.EQ(V26,V$4:V$200)</f>
        <v>78</v>
      </c>
      <c r="AA26" s="2">
        <f t="shared" si="32"/>
        <v>104</v>
      </c>
      <c r="AB26" s="2">
        <f t="shared" si="32"/>
        <v>48</v>
      </c>
      <c r="AC26" s="2">
        <f t="shared" si="32"/>
        <v>66</v>
      </c>
      <c r="AD26" s="10">
        <f t="shared" si="2"/>
        <v>58.5</v>
      </c>
      <c r="AE26" s="2">
        <v>243</v>
      </c>
      <c r="AF26" s="10">
        <f t="shared" si="3"/>
        <v>55</v>
      </c>
      <c r="AG26" s="2"/>
      <c r="AH26" s="2"/>
      <c r="AI26" s="9">
        <f t="shared" si="4"/>
        <v>138.75</v>
      </c>
      <c r="AJ26" s="10">
        <f t="shared" si="5"/>
        <v>0</v>
      </c>
      <c r="AK26" s="10">
        <f t="shared" si="6"/>
        <v>0</v>
      </c>
      <c r="AL26" s="9">
        <f t="shared" si="7"/>
        <v>138.75</v>
      </c>
      <c r="AM26" s="10">
        <f t="shared" si="8"/>
        <v>0</v>
      </c>
      <c r="AN26" s="10">
        <f t="shared" si="9"/>
        <v>0</v>
      </c>
      <c r="AO26" s="10">
        <f t="shared" si="10"/>
        <v>0</v>
      </c>
    </row>
    <row r="27" spans="1:41">
      <c r="A27" s="3">
        <v>10272</v>
      </c>
      <c r="B27" s="2" t="s">
        <v>85</v>
      </c>
      <c r="C27" s="3" t="s">
        <v>46</v>
      </c>
      <c r="D27" s="3" t="s">
        <v>46</v>
      </c>
      <c r="E27" s="3" t="s">
        <v>46</v>
      </c>
      <c r="F27" s="3"/>
      <c r="G27" s="3" t="s">
        <v>75</v>
      </c>
      <c r="H27" s="3" t="s">
        <v>83</v>
      </c>
      <c r="I27" s="3" t="s">
        <v>48</v>
      </c>
      <c r="J27" s="3" t="s">
        <v>49</v>
      </c>
      <c r="K27" s="4"/>
      <c r="L27" s="3" t="s">
        <v>55</v>
      </c>
      <c r="M27" s="4">
        <v>6000</v>
      </c>
      <c r="N27" s="2">
        <v>5</v>
      </c>
      <c r="O27" s="5" t="s">
        <v>55</v>
      </c>
      <c r="P27" s="25">
        <v>29</v>
      </c>
      <c r="Q27" s="26">
        <f t="shared" si="0"/>
        <v>913.5</v>
      </c>
      <c r="R27" s="27">
        <v>1.5</v>
      </c>
      <c r="S27" s="2"/>
      <c r="T27" s="2">
        <v>153</v>
      </c>
      <c r="U27" s="2"/>
      <c r="V27" s="10">
        <v>137611</v>
      </c>
      <c r="W27" s="10">
        <v>124800</v>
      </c>
      <c r="X27" s="10">
        <v>99</v>
      </c>
      <c r="Y27" s="10">
        <v>89</v>
      </c>
      <c r="Z27" s="2">
        <f t="shared" ref="Z27:AC27" si="33">_xlfn.RANK.EQ(V27,V$4:V$200)</f>
        <v>19</v>
      </c>
      <c r="AA27" s="2">
        <f t="shared" si="33"/>
        <v>37</v>
      </c>
      <c r="AB27" s="2">
        <f t="shared" si="33"/>
        <v>27</v>
      </c>
      <c r="AC27" s="2">
        <f t="shared" si="33"/>
        <v>40</v>
      </c>
      <c r="AD27" s="10">
        <f t="shared" si="2"/>
        <v>94</v>
      </c>
      <c r="AE27" s="2">
        <v>255</v>
      </c>
      <c r="AF27" s="10">
        <f t="shared" si="3"/>
        <v>89</v>
      </c>
      <c r="AG27" s="2"/>
      <c r="AH27" s="2">
        <v>360</v>
      </c>
      <c r="AI27" s="9">
        <f t="shared" si="4"/>
        <v>294</v>
      </c>
      <c r="AJ27" s="10">
        <f t="shared" si="5"/>
        <v>0</v>
      </c>
      <c r="AK27" s="10">
        <f t="shared" si="6"/>
        <v>0</v>
      </c>
      <c r="AL27" s="9">
        <f t="shared" si="7"/>
        <v>294</v>
      </c>
      <c r="AM27" s="10">
        <f t="shared" si="8"/>
        <v>0</v>
      </c>
      <c r="AN27" s="10">
        <f t="shared" si="9"/>
        <v>0</v>
      </c>
      <c r="AO27" s="10">
        <f t="shared" si="10"/>
        <v>0</v>
      </c>
    </row>
    <row r="28" spans="1:41">
      <c r="A28" s="3">
        <v>10001</v>
      </c>
      <c r="B28" s="2" t="s">
        <v>86</v>
      </c>
      <c r="C28" s="3" t="s">
        <v>46</v>
      </c>
      <c r="D28" s="3" t="s">
        <v>46</v>
      </c>
      <c r="E28" s="3" t="s">
        <v>46</v>
      </c>
      <c r="F28" s="3"/>
      <c r="G28" s="3" t="s">
        <v>52</v>
      </c>
      <c r="H28" s="3" t="s">
        <v>87</v>
      </c>
      <c r="I28" s="3" t="s">
        <v>54</v>
      </c>
      <c r="J28" s="3" t="s">
        <v>49</v>
      </c>
      <c r="K28" s="4"/>
      <c r="L28" s="3" t="s">
        <v>55</v>
      </c>
      <c r="M28" s="4">
        <v>5000</v>
      </c>
      <c r="N28" s="2">
        <v>5</v>
      </c>
      <c r="O28" s="5" t="s">
        <v>55</v>
      </c>
      <c r="P28" s="25">
        <v>24.64</v>
      </c>
      <c r="Q28" s="26">
        <f t="shared" si="0"/>
        <v>776.16</v>
      </c>
      <c r="R28" s="27">
        <v>2</v>
      </c>
      <c r="S28" s="2"/>
      <c r="T28" s="2">
        <v>153</v>
      </c>
      <c r="U28" s="2"/>
      <c r="V28" s="10">
        <v>139577</v>
      </c>
      <c r="W28" s="10">
        <v>154530</v>
      </c>
      <c r="X28" s="10">
        <v>103</v>
      </c>
      <c r="Y28" s="10">
        <v>115</v>
      </c>
      <c r="Z28" s="2">
        <f t="shared" ref="Z28:AC28" si="34">_xlfn.RANK.EQ(V28,V$4:V$200)</f>
        <v>18</v>
      </c>
      <c r="AA28" s="2">
        <f t="shared" si="34"/>
        <v>21</v>
      </c>
      <c r="AB28" s="2">
        <f t="shared" si="34"/>
        <v>25</v>
      </c>
      <c r="AC28" s="2">
        <f t="shared" si="34"/>
        <v>27</v>
      </c>
      <c r="AD28" s="10">
        <f t="shared" si="2"/>
        <v>109</v>
      </c>
      <c r="AE28" s="2">
        <v>245</v>
      </c>
      <c r="AF28" s="10">
        <f t="shared" si="3"/>
        <v>115</v>
      </c>
      <c r="AG28" s="2">
        <v>200</v>
      </c>
      <c r="AH28" s="2">
        <v>400</v>
      </c>
      <c r="AI28" s="28">
        <f t="shared" ref="AI28:AI35" si="35">T28+MAX(AD28,AF28)*2.35</f>
        <v>423.25</v>
      </c>
      <c r="AJ28" s="10">
        <f t="shared" si="5"/>
        <v>0</v>
      </c>
      <c r="AK28" s="10">
        <f t="shared" si="6"/>
        <v>0</v>
      </c>
      <c r="AL28" s="28">
        <f t="shared" ref="AL28:AL35" si="36">T28+MAX(AD28,AF28)*2.35</f>
        <v>423.25</v>
      </c>
      <c r="AM28" s="10">
        <f t="shared" si="8"/>
        <v>0</v>
      </c>
      <c r="AN28" s="10">
        <f t="shared" si="9"/>
        <v>0</v>
      </c>
      <c r="AO28" s="10">
        <f t="shared" si="10"/>
        <v>0</v>
      </c>
    </row>
    <row r="29" spans="1:41">
      <c r="A29" s="3">
        <v>10057</v>
      </c>
      <c r="B29" s="2" t="s">
        <v>88</v>
      </c>
      <c r="C29" s="3" t="s">
        <v>46</v>
      </c>
      <c r="D29" s="3" t="s">
        <v>46</v>
      </c>
      <c r="E29" s="3" t="s">
        <v>46</v>
      </c>
      <c r="F29" s="3"/>
      <c r="G29" s="3" t="s">
        <v>52</v>
      </c>
      <c r="H29" s="3" t="s">
        <v>87</v>
      </c>
      <c r="I29" s="3" t="s">
        <v>54</v>
      </c>
      <c r="J29" s="3" t="s">
        <v>49</v>
      </c>
      <c r="K29" s="4"/>
      <c r="L29" s="3" t="s">
        <v>55</v>
      </c>
      <c r="M29" s="4">
        <v>5000</v>
      </c>
      <c r="N29" s="2">
        <v>5</v>
      </c>
      <c r="O29" s="5" t="s">
        <v>55</v>
      </c>
      <c r="P29" s="25">
        <v>21.56</v>
      </c>
      <c r="Q29" s="26">
        <f t="shared" si="0"/>
        <v>679.14</v>
      </c>
      <c r="R29" s="27">
        <v>2</v>
      </c>
      <c r="S29" s="2"/>
      <c r="T29" s="2">
        <v>102</v>
      </c>
      <c r="U29" s="2"/>
      <c r="V29" s="10">
        <v>132148</v>
      </c>
      <c r="W29" s="10">
        <v>134244</v>
      </c>
      <c r="X29" s="10">
        <v>112</v>
      </c>
      <c r="Y29" s="10">
        <v>114</v>
      </c>
      <c r="Z29" s="2">
        <f t="shared" ref="Z29:AC29" si="37">_xlfn.RANK.EQ(V29,V$4:V$200)</f>
        <v>21</v>
      </c>
      <c r="AA29" s="2">
        <f t="shared" si="37"/>
        <v>33</v>
      </c>
      <c r="AB29" s="2">
        <f t="shared" si="37"/>
        <v>23</v>
      </c>
      <c r="AC29" s="2">
        <f t="shared" si="37"/>
        <v>28</v>
      </c>
      <c r="AD29" s="10">
        <f t="shared" si="2"/>
        <v>113</v>
      </c>
      <c r="AE29" s="2">
        <v>636</v>
      </c>
      <c r="AF29" s="10">
        <f t="shared" si="3"/>
        <v>114</v>
      </c>
      <c r="AG29" s="2"/>
      <c r="AH29" s="2"/>
      <c r="AI29" s="28">
        <f t="shared" si="35"/>
        <v>369.90000000000003</v>
      </c>
      <c r="AJ29" s="10">
        <f t="shared" si="5"/>
        <v>0</v>
      </c>
      <c r="AK29" s="10">
        <f t="shared" si="6"/>
        <v>0</v>
      </c>
      <c r="AL29" s="28">
        <f t="shared" si="36"/>
        <v>369.90000000000003</v>
      </c>
      <c r="AM29" s="10">
        <f t="shared" si="8"/>
        <v>0</v>
      </c>
      <c r="AN29" s="10">
        <f t="shared" si="9"/>
        <v>0</v>
      </c>
      <c r="AO29" s="10">
        <f t="shared" si="10"/>
        <v>0</v>
      </c>
    </row>
    <row r="30" spans="1:41">
      <c r="A30" s="3">
        <v>10223</v>
      </c>
      <c r="B30" s="2" t="s">
        <v>89</v>
      </c>
      <c r="C30" s="3" t="s">
        <v>46</v>
      </c>
      <c r="D30" s="3" t="s">
        <v>46</v>
      </c>
      <c r="E30" s="3" t="s">
        <v>46</v>
      </c>
      <c r="F30" s="3"/>
      <c r="G30" s="3" t="s">
        <v>52</v>
      </c>
      <c r="H30" s="3" t="s">
        <v>87</v>
      </c>
      <c r="I30" s="3" t="s">
        <v>54</v>
      </c>
      <c r="J30" s="3" t="s">
        <v>49</v>
      </c>
      <c r="K30" s="4"/>
      <c r="L30" s="3" t="s">
        <v>55</v>
      </c>
      <c r="M30" s="4">
        <v>5000</v>
      </c>
      <c r="N30" s="2">
        <v>5</v>
      </c>
      <c r="O30" s="5" t="s">
        <v>55</v>
      </c>
      <c r="P30" s="25">
        <v>17.16</v>
      </c>
      <c r="Q30" s="26">
        <f t="shared" si="0"/>
        <v>540.54</v>
      </c>
      <c r="R30" s="27">
        <v>2</v>
      </c>
      <c r="S30" s="2"/>
      <c r="T30" s="2">
        <v>51</v>
      </c>
      <c r="U30" s="2"/>
      <c r="V30" s="10">
        <v>57152</v>
      </c>
      <c r="W30" s="10">
        <v>48638</v>
      </c>
      <c r="X30" s="10">
        <v>61</v>
      </c>
      <c r="Y30" s="10">
        <v>52</v>
      </c>
      <c r="Z30" s="2">
        <f t="shared" ref="Z30:AC30" si="38">_xlfn.RANK.EQ(V30,V$4:V$200)</f>
        <v>81</v>
      </c>
      <c r="AA30" s="2">
        <f t="shared" si="38"/>
        <v>110</v>
      </c>
      <c r="AB30" s="2">
        <f t="shared" si="38"/>
        <v>50</v>
      </c>
      <c r="AC30" s="2">
        <f t="shared" si="38"/>
        <v>70</v>
      </c>
      <c r="AD30" s="10">
        <f t="shared" si="2"/>
        <v>56.5</v>
      </c>
      <c r="AE30" s="2">
        <v>237</v>
      </c>
      <c r="AF30" s="10">
        <f t="shared" si="3"/>
        <v>52</v>
      </c>
      <c r="AG30" s="2">
        <v>30</v>
      </c>
      <c r="AH30" s="2"/>
      <c r="AI30" s="28">
        <f t="shared" si="35"/>
        <v>183.77500000000001</v>
      </c>
      <c r="AJ30" s="10">
        <f t="shared" si="5"/>
        <v>0</v>
      </c>
      <c r="AK30" s="10">
        <f t="shared" si="6"/>
        <v>0</v>
      </c>
      <c r="AL30" s="28">
        <f t="shared" si="36"/>
        <v>183.77500000000001</v>
      </c>
      <c r="AM30" s="10">
        <f t="shared" si="8"/>
        <v>0</v>
      </c>
      <c r="AN30" s="10">
        <f t="shared" si="9"/>
        <v>0</v>
      </c>
      <c r="AO30" s="10">
        <f t="shared" si="10"/>
        <v>0</v>
      </c>
    </row>
    <row r="31" spans="1:41">
      <c r="A31" s="3">
        <v>10254</v>
      </c>
      <c r="B31" s="2" t="s">
        <v>90</v>
      </c>
      <c r="C31" s="3" t="s">
        <v>46</v>
      </c>
      <c r="D31" s="3" t="s">
        <v>46</v>
      </c>
      <c r="E31" s="3" t="s">
        <v>46</v>
      </c>
      <c r="F31" s="3"/>
      <c r="G31" s="3" t="s">
        <v>52</v>
      </c>
      <c r="H31" s="3" t="s">
        <v>87</v>
      </c>
      <c r="I31" s="3" t="s">
        <v>54</v>
      </c>
      <c r="J31" s="3" t="s">
        <v>49</v>
      </c>
      <c r="K31" s="4"/>
      <c r="L31" s="3" t="s">
        <v>55</v>
      </c>
      <c r="M31" s="4">
        <v>5000</v>
      </c>
      <c r="N31" s="2">
        <v>5</v>
      </c>
      <c r="O31" s="5" t="s">
        <v>55</v>
      </c>
      <c r="P31" s="25">
        <v>17.16</v>
      </c>
      <c r="Q31" s="26">
        <f t="shared" si="0"/>
        <v>540.54</v>
      </c>
      <c r="R31" s="27">
        <v>2</v>
      </c>
      <c r="S31" s="2"/>
      <c r="T31" s="2">
        <v>51</v>
      </c>
      <c r="U31" s="2"/>
      <c r="V31" s="10">
        <v>61048</v>
      </c>
      <c r="W31" s="10">
        <v>41398</v>
      </c>
      <c r="X31" s="10">
        <v>65</v>
      </c>
      <c r="Y31" s="10">
        <v>44</v>
      </c>
      <c r="Z31" s="2">
        <f t="shared" ref="Z31:AC31" si="39">_xlfn.RANK.EQ(V31,V$4:V$200)</f>
        <v>72</v>
      </c>
      <c r="AA31" s="2">
        <f t="shared" si="39"/>
        <v>119</v>
      </c>
      <c r="AB31" s="2">
        <f t="shared" si="39"/>
        <v>47</v>
      </c>
      <c r="AC31" s="2">
        <f t="shared" si="39"/>
        <v>88</v>
      </c>
      <c r="AD31" s="10">
        <f t="shared" si="2"/>
        <v>54.5</v>
      </c>
      <c r="AE31" s="2">
        <v>258</v>
      </c>
      <c r="AF31" s="10">
        <f t="shared" si="3"/>
        <v>44</v>
      </c>
      <c r="AG31" s="2"/>
      <c r="AH31" s="2"/>
      <c r="AI31" s="28">
        <f t="shared" si="35"/>
        <v>179.07500000000002</v>
      </c>
      <c r="AJ31" s="10">
        <f t="shared" si="5"/>
        <v>0</v>
      </c>
      <c r="AK31" s="10">
        <f t="shared" si="6"/>
        <v>0</v>
      </c>
      <c r="AL31" s="28">
        <f t="shared" si="36"/>
        <v>179.07500000000002</v>
      </c>
      <c r="AM31" s="10">
        <f t="shared" si="8"/>
        <v>0</v>
      </c>
      <c r="AN31" s="10">
        <f t="shared" si="9"/>
        <v>0</v>
      </c>
      <c r="AO31" s="10">
        <f t="shared" si="10"/>
        <v>0</v>
      </c>
    </row>
    <row r="32" spans="1:41">
      <c r="A32" s="3">
        <v>10220</v>
      </c>
      <c r="B32" s="2" t="s">
        <v>91</v>
      </c>
      <c r="C32" s="3" t="s">
        <v>46</v>
      </c>
      <c r="D32" s="3" t="s">
        <v>46</v>
      </c>
      <c r="E32" s="3" t="s">
        <v>46</v>
      </c>
      <c r="F32" s="3"/>
      <c r="G32" s="3" t="s">
        <v>52</v>
      </c>
      <c r="H32" s="3" t="s">
        <v>87</v>
      </c>
      <c r="I32" s="3" t="s">
        <v>54</v>
      </c>
      <c r="J32" s="3" t="s">
        <v>49</v>
      </c>
      <c r="K32" s="4"/>
      <c r="L32" s="3" t="s">
        <v>55</v>
      </c>
      <c r="M32" s="4">
        <v>5000</v>
      </c>
      <c r="N32" s="2">
        <v>5</v>
      </c>
      <c r="O32" s="5" t="s">
        <v>55</v>
      </c>
      <c r="P32" s="25">
        <v>45.76</v>
      </c>
      <c r="Q32" s="26">
        <f t="shared" si="0"/>
        <v>1441.4399999999998</v>
      </c>
      <c r="R32" s="27">
        <v>2</v>
      </c>
      <c r="S32" s="2"/>
      <c r="T32" s="2">
        <v>102</v>
      </c>
      <c r="U32" s="2"/>
      <c r="V32" s="10">
        <v>154051</v>
      </c>
      <c r="W32" s="10">
        <v>164187</v>
      </c>
      <c r="X32" s="10">
        <v>62</v>
      </c>
      <c r="Y32" s="10">
        <v>66</v>
      </c>
      <c r="Z32" s="2">
        <f t="shared" ref="Z32:AC32" si="40">_xlfn.RANK.EQ(V32,V$4:V$200)</f>
        <v>15</v>
      </c>
      <c r="AA32" s="2">
        <f t="shared" si="40"/>
        <v>18</v>
      </c>
      <c r="AB32" s="2">
        <f t="shared" si="40"/>
        <v>48</v>
      </c>
      <c r="AC32" s="2">
        <f t="shared" si="40"/>
        <v>50</v>
      </c>
      <c r="AD32" s="10">
        <f t="shared" si="2"/>
        <v>64</v>
      </c>
      <c r="AE32" s="2">
        <v>297</v>
      </c>
      <c r="AF32" s="10">
        <f t="shared" si="3"/>
        <v>66</v>
      </c>
      <c r="AG32" s="2"/>
      <c r="AH32" s="2"/>
      <c r="AI32" s="28">
        <f t="shared" si="35"/>
        <v>257.10000000000002</v>
      </c>
      <c r="AJ32" s="10">
        <f t="shared" si="5"/>
        <v>30</v>
      </c>
      <c r="AK32" s="10">
        <f t="shared" si="6"/>
        <v>43243.199999999997</v>
      </c>
      <c r="AL32" s="28">
        <f t="shared" si="36"/>
        <v>257.10000000000002</v>
      </c>
      <c r="AM32" s="10">
        <f t="shared" si="8"/>
        <v>30</v>
      </c>
      <c r="AN32" s="10">
        <f t="shared" si="9"/>
        <v>43243.199999999997</v>
      </c>
      <c r="AO32" s="10">
        <f t="shared" si="10"/>
        <v>0</v>
      </c>
    </row>
    <row r="33" spans="1:41">
      <c r="A33" s="3">
        <v>10219</v>
      </c>
      <c r="B33" s="2" t="s">
        <v>92</v>
      </c>
      <c r="C33" s="3" t="s">
        <v>46</v>
      </c>
      <c r="D33" s="3" t="s">
        <v>46</v>
      </c>
      <c r="E33" s="3" t="s">
        <v>46</v>
      </c>
      <c r="F33" s="3"/>
      <c r="G33" s="3" t="s">
        <v>52</v>
      </c>
      <c r="H33" s="3" t="s">
        <v>87</v>
      </c>
      <c r="I33" s="3" t="s">
        <v>54</v>
      </c>
      <c r="J33" s="3" t="s">
        <v>49</v>
      </c>
      <c r="K33" s="4"/>
      <c r="L33" s="3" t="s">
        <v>55</v>
      </c>
      <c r="M33" s="4">
        <v>5000</v>
      </c>
      <c r="N33" s="2">
        <v>5</v>
      </c>
      <c r="O33" s="5" t="s">
        <v>55</v>
      </c>
      <c r="P33" s="25">
        <v>42.24</v>
      </c>
      <c r="Q33" s="26">
        <f t="shared" si="0"/>
        <v>1330.5600000000002</v>
      </c>
      <c r="R33" s="27">
        <v>2</v>
      </c>
      <c r="S33" s="2"/>
      <c r="T33" s="2">
        <v>51</v>
      </c>
      <c r="U33" s="2"/>
      <c r="V33" s="10">
        <v>48258</v>
      </c>
      <c r="W33" s="10">
        <v>66982</v>
      </c>
      <c r="X33" s="10">
        <v>21</v>
      </c>
      <c r="Y33" s="10">
        <v>29</v>
      </c>
      <c r="Z33" s="2">
        <f t="shared" ref="Z33:AC33" si="41">_xlfn.RANK.EQ(V33,V$4:V$200)</f>
        <v>95</v>
      </c>
      <c r="AA33" s="2">
        <f t="shared" si="41"/>
        <v>83</v>
      </c>
      <c r="AB33" s="2">
        <f t="shared" si="41"/>
        <v>114</v>
      </c>
      <c r="AC33" s="2">
        <f t="shared" si="41"/>
        <v>107</v>
      </c>
      <c r="AD33" s="10">
        <f t="shared" si="2"/>
        <v>25</v>
      </c>
      <c r="AE33" s="2">
        <v>308</v>
      </c>
      <c r="AF33" s="10">
        <f t="shared" si="3"/>
        <v>29</v>
      </c>
      <c r="AG33" s="2"/>
      <c r="AH33" s="2"/>
      <c r="AI33" s="28">
        <f t="shared" si="35"/>
        <v>119.15</v>
      </c>
      <c r="AJ33" s="10">
        <f t="shared" si="5"/>
        <v>0</v>
      </c>
      <c r="AK33" s="10">
        <f t="shared" si="6"/>
        <v>0</v>
      </c>
      <c r="AL33" s="28">
        <f t="shared" si="36"/>
        <v>119.15</v>
      </c>
      <c r="AM33" s="10">
        <f t="shared" si="8"/>
        <v>0</v>
      </c>
      <c r="AN33" s="10">
        <f t="shared" si="9"/>
        <v>0</v>
      </c>
      <c r="AO33" s="10">
        <f t="shared" si="10"/>
        <v>0</v>
      </c>
    </row>
    <row r="34" spans="1:41">
      <c r="A34" s="3">
        <v>10072</v>
      </c>
      <c r="B34" s="2" t="s">
        <v>93</v>
      </c>
      <c r="C34" s="3" t="s">
        <v>46</v>
      </c>
      <c r="D34" s="3" t="s">
        <v>46</v>
      </c>
      <c r="E34" s="3" t="s">
        <v>46</v>
      </c>
      <c r="F34" s="3"/>
      <c r="G34" s="3" t="s">
        <v>52</v>
      </c>
      <c r="H34" s="3" t="s">
        <v>87</v>
      </c>
      <c r="I34" s="3" t="s">
        <v>54</v>
      </c>
      <c r="J34" s="3" t="s">
        <v>49</v>
      </c>
      <c r="K34" s="4"/>
      <c r="L34" s="3" t="s">
        <v>55</v>
      </c>
      <c r="M34" s="4">
        <v>5000</v>
      </c>
      <c r="N34" s="2">
        <v>5</v>
      </c>
      <c r="O34" s="5" t="s">
        <v>55</v>
      </c>
      <c r="P34" s="25">
        <v>45.76</v>
      </c>
      <c r="Q34" s="26">
        <f t="shared" si="0"/>
        <v>1441.4399999999998</v>
      </c>
      <c r="R34" s="27">
        <v>2</v>
      </c>
      <c r="S34" s="2"/>
      <c r="T34" s="2">
        <v>102</v>
      </c>
      <c r="U34" s="2"/>
      <c r="V34" s="10">
        <v>94535</v>
      </c>
      <c r="W34" s="10">
        <v>112283</v>
      </c>
      <c r="X34" s="10">
        <v>38</v>
      </c>
      <c r="Y34" s="10">
        <v>45</v>
      </c>
      <c r="Z34" s="2">
        <f t="shared" ref="Z34:AC34" si="42">_xlfn.RANK.EQ(V34,V$4:V$200)</f>
        <v>45</v>
      </c>
      <c r="AA34" s="2">
        <f t="shared" si="42"/>
        <v>44</v>
      </c>
      <c r="AB34" s="2">
        <f t="shared" si="42"/>
        <v>83</v>
      </c>
      <c r="AC34" s="2">
        <f t="shared" si="42"/>
        <v>85</v>
      </c>
      <c r="AD34" s="10">
        <f t="shared" si="2"/>
        <v>41.5</v>
      </c>
      <c r="AE34" s="2">
        <v>272</v>
      </c>
      <c r="AF34" s="10">
        <f t="shared" si="3"/>
        <v>45</v>
      </c>
      <c r="AG34" s="2"/>
      <c r="AH34" s="2"/>
      <c r="AI34" s="28">
        <f t="shared" si="35"/>
        <v>207.75</v>
      </c>
      <c r="AJ34" s="10">
        <f t="shared" si="5"/>
        <v>0</v>
      </c>
      <c r="AK34" s="10">
        <f t="shared" si="6"/>
        <v>0</v>
      </c>
      <c r="AL34" s="28">
        <f t="shared" si="36"/>
        <v>207.75</v>
      </c>
      <c r="AM34" s="10">
        <f t="shared" si="8"/>
        <v>0</v>
      </c>
      <c r="AN34" s="10">
        <f t="shared" si="9"/>
        <v>0</v>
      </c>
      <c r="AO34" s="10">
        <f t="shared" si="10"/>
        <v>0</v>
      </c>
    </row>
    <row r="35" spans="1:41">
      <c r="A35" s="3">
        <v>10002</v>
      </c>
      <c r="B35" s="2" t="s">
        <v>94</v>
      </c>
      <c r="C35" s="3" t="s">
        <v>46</v>
      </c>
      <c r="D35" s="3" t="s">
        <v>46</v>
      </c>
      <c r="E35" s="3" t="s">
        <v>46</v>
      </c>
      <c r="F35" s="3"/>
      <c r="G35" s="3" t="s">
        <v>52</v>
      </c>
      <c r="H35" s="3" t="s">
        <v>87</v>
      </c>
      <c r="I35" s="3" t="s">
        <v>54</v>
      </c>
      <c r="J35" s="3" t="s">
        <v>49</v>
      </c>
      <c r="K35" s="4"/>
      <c r="L35" s="3" t="s">
        <v>55</v>
      </c>
      <c r="M35" s="4">
        <v>5000</v>
      </c>
      <c r="N35" s="2">
        <v>5</v>
      </c>
      <c r="O35" s="5" t="s">
        <v>55</v>
      </c>
      <c r="P35" s="25">
        <v>39.6</v>
      </c>
      <c r="Q35" s="26">
        <f t="shared" si="0"/>
        <v>1247.4000000000001</v>
      </c>
      <c r="R35" s="27">
        <v>2</v>
      </c>
      <c r="S35" s="2"/>
      <c r="T35" s="2">
        <v>51</v>
      </c>
      <c r="U35" s="2"/>
      <c r="V35" s="10">
        <v>51889</v>
      </c>
      <c r="W35" s="10">
        <v>47322</v>
      </c>
      <c r="X35" s="10">
        <v>24</v>
      </c>
      <c r="Y35" s="10">
        <v>22</v>
      </c>
      <c r="Z35" s="2">
        <f t="shared" ref="Z35:AC35" si="43">_xlfn.RANK.EQ(V35,V$4:V$200)</f>
        <v>88</v>
      </c>
      <c r="AA35" s="2">
        <f t="shared" si="43"/>
        <v>111</v>
      </c>
      <c r="AB35" s="2">
        <f t="shared" si="43"/>
        <v>110</v>
      </c>
      <c r="AC35" s="2">
        <f t="shared" si="43"/>
        <v>124</v>
      </c>
      <c r="AD35" s="10">
        <f t="shared" si="2"/>
        <v>23</v>
      </c>
      <c r="AE35" s="2">
        <v>197</v>
      </c>
      <c r="AF35" s="10">
        <f t="shared" si="3"/>
        <v>22</v>
      </c>
      <c r="AG35" s="2"/>
      <c r="AH35" s="2"/>
      <c r="AI35" s="28">
        <f t="shared" si="35"/>
        <v>105.05000000000001</v>
      </c>
      <c r="AJ35" s="10">
        <f t="shared" si="5"/>
        <v>0</v>
      </c>
      <c r="AK35" s="10">
        <f t="shared" si="6"/>
        <v>0</v>
      </c>
      <c r="AL35" s="28">
        <f t="shared" si="36"/>
        <v>105.05000000000001</v>
      </c>
      <c r="AM35" s="10">
        <f t="shared" si="8"/>
        <v>0</v>
      </c>
      <c r="AN35" s="10">
        <f t="shared" si="9"/>
        <v>0</v>
      </c>
      <c r="AO35" s="10">
        <f t="shared" si="10"/>
        <v>0</v>
      </c>
    </row>
    <row r="36" spans="1:41">
      <c r="A36" s="3">
        <v>10311</v>
      </c>
      <c r="B36" s="2" t="s">
        <v>95</v>
      </c>
      <c r="C36" s="3" t="s">
        <v>46</v>
      </c>
      <c r="D36" s="3" t="s">
        <v>46</v>
      </c>
      <c r="E36" s="3" t="s">
        <v>46</v>
      </c>
      <c r="F36" s="3"/>
      <c r="G36" s="3" t="s">
        <v>96</v>
      </c>
      <c r="H36" s="3"/>
      <c r="I36" s="3" t="s">
        <v>48</v>
      </c>
      <c r="J36" s="3" t="s">
        <v>49</v>
      </c>
      <c r="K36" s="4"/>
      <c r="L36" s="3"/>
      <c r="M36" s="4"/>
      <c r="N36" s="2">
        <v>5</v>
      </c>
      <c r="O36" s="5" t="s">
        <v>50</v>
      </c>
      <c r="P36" s="25">
        <v>796</v>
      </c>
      <c r="Q36" s="26">
        <f t="shared" si="0"/>
        <v>796</v>
      </c>
      <c r="R36" s="27">
        <v>1.5</v>
      </c>
      <c r="S36" s="2"/>
      <c r="T36" s="2">
        <v>51</v>
      </c>
      <c r="U36" s="2"/>
      <c r="V36" s="10">
        <v>65272</v>
      </c>
      <c r="W36" s="10">
        <v>65424</v>
      </c>
      <c r="X36" s="10">
        <v>43</v>
      </c>
      <c r="Y36" s="10">
        <v>43</v>
      </c>
      <c r="Z36" s="2">
        <f t="shared" ref="Z36:AC36" si="44">_xlfn.RANK.EQ(V36,V$4:V$200)</f>
        <v>63</v>
      </c>
      <c r="AA36" s="2">
        <f t="shared" si="44"/>
        <v>85</v>
      </c>
      <c r="AB36" s="2">
        <f t="shared" si="44"/>
        <v>73</v>
      </c>
      <c r="AC36" s="2">
        <f t="shared" si="44"/>
        <v>89</v>
      </c>
      <c r="AD36" s="10">
        <f t="shared" si="2"/>
        <v>43</v>
      </c>
      <c r="AE36" s="2">
        <v>290</v>
      </c>
      <c r="AF36" s="10">
        <f t="shared" si="3"/>
        <v>43</v>
      </c>
      <c r="AG36" s="2"/>
      <c r="AH36" s="2"/>
      <c r="AI36" s="9">
        <f t="shared" ref="AI36:AI82" si="45">T36+MAX(AD36,AF36)*1.5</f>
        <v>115.5</v>
      </c>
      <c r="AJ36" s="10">
        <f t="shared" si="5"/>
        <v>0</v>
      </c>
      <c r="AK36" s="10">
        <f t="shared" si="6"/>
        <v>0</v>
      </c>
      <c r="AL36" s="9">
        <f t="shared" ref="AL36:AL82" si="46">T36+MAX(AD36,AF36)*R36</f>
        <v>115.5</v>
      </c>
      <c r="AM36" s="10">
        <f t="shared" si="8"/>
        <v>0</v>
      </c>
      <c r="AN36" s="10">
        <f t="shared" si="9"/>
        <v>0</v>
      </c>
      <c r="AO36" s="10">
        <f t="shared" si="10"/>
        <v>0</v>
      </c>
    </row>
    <row r="37" spans="1:41">
      <c r="A37" s="3">
        <v>10312</v>
      </c>
      <c r="B37" s="2" t="s">
        <v>97</v>
      </c>
      <c r="C37" s="3" t="s">
        <v>46</v>
      </c>
      <c r="D37" s="3" t="s">
        <v>46</v>
      </c>
      <c r="E37" s="3" t="s">
        <v>60</v>
      </c>
      <c r="F37" s="3" t="s">
        <v>61</v>
      </c>
      <c r="G37" s="3" t="s">
        <v>96</v>
      </c>
      <c r="H37" s="3"/>
      <c r="I37" s="3" t="s">
        <v>48</v>
      </c>
      <c r="J37" s="3" t="s">
        <v>49</v>
      </c>
      <c r="K37" s="4"/>
      <c r="L37" s="3"/>
      <c r="M37" s="4"/>
      <c r="N37" s="2">
        <v>5</v>
      </c>
      <c r="O37" s="5" t="s">
        <v>50</v>
      </c>
      <c r="P37" s="25">
        <v>672</v>
      </c>
      <c r="Q37" s="26">
        <f t="shared" si="0"/>
        <v>672</v>
      </c>
      <c r="R37" s="27">
        <v>1.5</v>
      </c>
      <c r="S37" s="2"/>
      <c r="T37" s="2">
        <v>102</v>
      </c>
      <c r="U37" s="2"/>
      <c r="V37" s="10">
        <v>75630</v>
      </c>
      <c r="W37" s="10">
        <v>76704</v>
      </c>
      <c r="X37" s="10">
        <v>59</v>
      </c>
      <c r="Y37" s="10">
        <v>60</v>
      </c>
      <c r="Z37" s="2">
        <f t="shared" ref="Z37:AC37" si="47">_xlfn.RANK.EQ(V37,V$4:V$200)</f>
        <v>54</v>
      </c>
      <c r="AA37" s="2">
        <f t="shared" si="47"/>
        <v>70</v>
      </c>
      <c r="AB37" s="2">
        <f t="shared" si="47"/>
        <v>53</v>
      </c>
      <c r="AC37" s="2">
        <f t="shared" si="47"/>
        <v>57</v>
      </c>
      <c r="AD37" s="10">
        <f t="shared" si="2"/>
        <v>59.5</v>
      </c>
      <c r="AE37" s="2">
        <v>324</v>
      </c>
      <c r="AF37" s="10">
        <f t="shared" si="3"/>
        <v>60</v>
      </c>
      <c r="AG37" s="2"/>
      <c r="AH37" s="2"/>
      <c r="AI37" s="9">
        <f t="shared" si="45"/>
        <v>192</v>
      </c>
      <c r="AJ37" s="10">
        <f t="shared" si="5"/>
        <v>0</v>
      </c>
      <c r="AK37" s="10">
        <f t="shared" si="6"/>
        <v>0</v>
      </c>
      <c r="AL37" s="9">
        <f t="shared" si="46"/>
        <v>192</v>
      </c>
      <c r="AM37" s="10">
        <f t="shared" si="8"/>
        <v>0</v>
      </c>
      <c r="AN37" s="10">
        <f t="shared" si="9"/>
        <v>0</v>
      </c>
      <c r="AO37" s="10">
        <f t="shared" si="10"/>
        <v>0</v>
      </c>
    </row>
    <row r="38" spans="1:41">
      <c r="A38" s="3">
        <v>10266</v>
      </c>
      <c r="B38" s="2" t="s">
        <v>98</v>
      </c>
      <c r="C38" s="3"/>
      <c r="D38" s="3" t="s">
        <v>46</v>
      </c>
      <c r="E38" s="3" t="s">
        <v>46</v>
      </c>
      <c r="F38" s="3" t="s">
        <v>61</v>
      </c>
      <c r="G38" s="3" t="s">
        <v>75</v>
      </c>
      <c r="H38" s="3"/>
      <c r="I38" s="3" t="s">
        <v>48</v>
      </c>
      <c r="J38" s="3" t="s">
        <v>49</v>
      </c>
      <c r="K38" s="4"/>
      <c r="L38" s="3"/>
      <c r="M38" s="4"/>
      <c r="N38" s="2">
        <v>5</v>
      </c>
      <c r="O38" s="5" t="s">
        <v>55</v>
      </c>
      <c r="P38" s="25">
        <v>36.479999999999997</v>
      </c>
      <c r="Q38" s="26">
        <f t="shared" si="0"/>
        <v>1149.1199999999999</v>
      </c>
      <c r="R38" s="27">
        <v>1.5</v>
      </c>
      <c r="S38" s="2"/>
      <c r="T38" s="2">
        <v>51</v>
      </c>
      <c r="U38" s="2"/>
      <c r="V38" s="10">
        <v>19976</v>
      </c>
      <c r="W38" s="10">
        <v>34567</v>
      </c>
      <c r="X38" s="10">
        <v>11</v>
      </c>
      <c r="Y38" s="10">
        <v>19</v>
      </c>
      <c r="Z38" s="2">
        <f t="shared" ref="Z38:AC38" si="48">_xlfn.RANK.EQ(V38,V$4:V$200)</f>
        <v>142</v>
      </c>
      <c r="AA38" s="2">
        <f t="shared" si="48"/>
        <v>130</v>
      </c>
      <c r="AB38" s="2">
        <f t="shared" si="48"/>
        <v>144</v>
      </c>
      <c r="AC38" s="2">
        <f t="shared" si="48"/>
        <v>135</v>
      </c>
      <c r="AD38" s="10">
        <f t="shared" si="2"/>
        <v>15</v>
      </c>
      <c r="AE38" s="2">
        <v>139</v>
      </c>
      <c r="AF38" s="10">
        <f t="shared" si="3"/>
        <v>19</v>
      </c>
      <c r="AG38" s="2"/>
      <c r="AH38" s="2"/>
      <c r="AI38" s="9">
        <f t="shared" si="45"/>
        <v>79.5</v>
      </c>
      <c r="AJ38" s="10">
        <f t="shared" si="5"/>
        <v>0</v>
      </c>
      <c r="AK38" s="10">
        <f t="shared" si="6"/>
        <v>0</v>
      </c>
      <c r="AL38" s="9">
        <f t="shared" si="46"/>
        <v>79.5</v>
      </c>
      <c r="AM38" s="10">
        <f t="shared" si="8"/>
        <v>0</v>
      </c>
      <c r="AN38" s="10">
        <f t="shared" si="9"/>
        <v>0</v>
      </c>
      <c r="AO38" s="10">
        <f t="shared" si="10"/>
        <v>0</v>
      </c>
    </row>
    <row r="39" spans="1:41">
      <c r="A39" s="3">
        <v>10410</v>
      </c>
      <c r="B39" s="2" t="s">
        <v>99</v>
      </c>
      <c r="C39" s="3"/>
      <c r="D39" s="3" t="s">
        <v>46</v>
      </c>
      <c r="E39" s="3" t="s">
        <v>46</v>
      </c>
      <c r="F39" s="3"/>
      <c r="G39" s="3" t="s">
        <v>75</v>
      </c>
      <c r="H39" s="3"/>
      <c r="I39" s="3" t="s">
        <v>48</v>
      </c>
      <c r="J39" s="3" t="s">
        <v>49</v>
      </c>
      <c r="K39" s="4"/>
      <c r="L39" s="3"/>
      <c r="M39" s="4"/>
      <c r="N39" s="2">
        <v>5</v>
      </c>
      <c r="O39" s="5" t="s">
        <v>55</v>
      </c>
      <c r="P39" s="25">
        <v>32.64</v>
      </c>
      <c r="Q39" s="26">
        <f t="shared" si="0"/>
        <v>1028.1600000000001</v>
      </c>
      <c r="R39" s="27">
        <v>1.5</v>
      </c>
      <c r="S39" s="2"/>
      <c r="T39" s="2">
        <v>51</v>
      </c>
      <c r="U39" s="2"/>
      <c r="V39" s="10">
        <v>22825</v>
      </c>
      <c r="W39" s="10">
        <v>43959</v>
      </c>
      <c r="X39" s="10">
        <v>14</v>
      </c>
      <c r="Y39" s="10">
        <v>27</v>
      </c>
      <c r="Z39" s="2">
        <f t="shared" ref="Z39:AC39" si="49">_xlfn.RANK.EQ(V39,V$4:V$200)</f>
        <v>135</v>
      </c>
      <c r="AA39" s="2">
        <f t="shared" si="49"/>
        <v>115</v>
      </c>
      <c r="AB39" s="2">
        <f t="shared" si="49"/>
        <v>132</v>
      </c>
      <c r="AC39" s="2">
        <f t="shared" si="49"/>
        <v>109</v>
      </c>
      <c r="AD39" s="10">
        <f t="shared" si="2"/>
        <v>20.5</v>
      </c>
      <c r="AE39" s="2">
        <v>136</v>
      </c>
      <c r="AF39" s="10">
        <f t="shared" si="3"/>
        <v>27</v>
      </c>
      <c r="AG39" s="2"/>
      <c r="AH39" s="2"/>
      <c r="AI39" s="9">
        <f t="shared" si="45"/>
        <v>91.5</v>
      </c>
      <c r="AJ39" s="10">
        <f t="shared" si="5"/>
        <v>0</v>
      </c>
      <c r="AK39" s="10">
        <f t="shared" si="6"/>
        <v>0</v>
      </c>
      <c r="AL39" s="9">
        <f t="shared" si="46"/>
        <v>91.5</v>
      </c>
      <c r="AM39" s="10">
        <f t="shared" si="8"/>
        <v>0</v>
      </c>
      <c r="AN39" s="10">
        <f t="shared" si="9"/>
        <v>0</v>
      </c>
      <c r="AO39" s="10">
        <f t="shared" si="10"/>
        <v>0</v>
      </c>
    </row>
    <row r="40" spans="1:41">
      <c r="A40" s="3">
        <v>10416</v>
      </c>
      <c r="B40" s="2" t="s">
        <v>100</v>
      </c>
      <c r="C40" s="3" t="s">
        <v>46</v>
      </c>
      <c r="D40" s="3" t="s">
        <v>46</v>
      </c>
      <c r="E40" s="3" t="s">
        <v>46</v>
      </c>
      <c r="F40" s="3"/>
      <c r="G40" s="3" t="s">
        <v>52</v>
      </c>
      <c r="H40" s="3" t="s">
        <v>69</v>
      </c>
      <c r="I40" s="3" t="s">
        <v>54</v>
      </c>
      <c r="J40" s="3" t="s">
        <v>49</v>
      </c>
      <c r="K40" s="4"/>
      <c r="L40" s="3" t="s">
        <v>55</v>
      </c>
      <c r="M40" s="4">
        <v>7000</v>
      </c>
      <c r="N40" s="2">
        <v>5</v>
      </c>
      <c r="O40" s="5" t="s">
        <v>55</v>
      </c>
      <c r="P40" s="25">
        <v>26.36</v>
      </c>
      <c r="Q40" s="26">
        <f t="shared" si="0"/>
        <v>830.34</v>
      </c>
      <c r="R40" s="27">
        <v>2</v>
      </c>
      <c r="S40" s="2"/>
      <c r="T40" s="2">
        <v>51</v>
      </c>
      <c r="U40" s="2"/>
      <c r="V40" s="10">
        <v>51285</v>
      </c>
      <c r="W40" s="10">
        <v>56992</v>
      </c>
      <c r="X40" s="10">
        <v>42</v>
      </c>
      <c r="Y40" s="10">
        <v>47</v>
      </c>
      <c r="Z40" s="2">
        <f t="shared" ref="Z40:AC40" si="50">_xlfn.RANK.EQ(V40,V$4:V$200)</f>
        <v>90</v>
      </c>
      <c r="AA40" s="2">
        <f t="shared" si="50"/>
        <v>94</v>
      </c>
      <c r="AB40" s="2">
        <f t="shared" si="50"/>
        <v>74</v>
      </c>
      <c r="AC40" s="2">
        <f t="shared" si="50"/>
        <v>77</v>
      </c>
      <c r="AD40" s="10">
        <f t="shared" si="2"/>
        <v>44.5</v>
      </c>
      <c r="AE40" s="2">
        <v>309</v>
      </c>
      <c r="AF40" s="10">
        <f t="shared" si="3"/>
        <v>47</v>
      </c>
      <c r="AG40" s="2"/>
      <c r="AH40" s="2"/>
      <c r="AI40" s="9">
        <f t="shared" si="45"/>
        <v>121.5</v>
      </c>
      <c r="AJ40" s="10">
        <f t="shared" si="5"/>
        <v>0</v>
      </c>
      <c r="AK40" s="10">
        <f t="shared" si="6"/>
        <v>0</v>
      </c>
      <c r="AL40" s="9">
        <f t="shared" si="46"/>
        <v>145</v>
      </c>
      <c r="AM40" s="10">
        <f t="shared" si="8"/>
        <v>0</v>
      </c>
      <c r="AN40" s="10">
        <f t="shared" si="9"/>
        <v>0</v>
      </c>
      <c r="AO40" s="10">
        <f t="shared" si="10"/>
        <v>0</v>
      </c>
    </row>
    <row r="41" spans="1:41">
      <c r="A41" s="3">
        <v>10417</v>
      </c>
      <c r="B41" s="2" t="s">
        <v>101</v>
      </c>
      <c r="C41" s="3" t="s">
        <v>46</v>
      </c>
      <c r="D41" s="3" t="s">
        <v>46</v>
      </c>
      <c r="E41" s="3" t="s">
        <v>60</v>
      </c>
      <c r="F41" s="3" t="s">
        <v>61</v>
      </c>
      <c r="G41" s="3" t="s">
        <v>52</v>
      </c>
      <c r="H41" s="3" t="s">
        <v>69</v>
      </c>
      <c r="I41" s="3" t="s">
        <v>54</v>
      </c>
      <c r="J41" s="3" t="s">
        <v>49</v>
      </c>
      <c r="K41" s="4"/>
      <c r="L41" s="3" t="s">
        <v>55</v>
      </c>
      <c r="M41" s="4">
        <v>7000</v>
      </c>
      <c r="N41" s="2">
        <v>5</v>
      </c>
      <c r="O41" s="5" t="s">
        <v>55</v>
      </c>
      <c r="P41" s="25">
        <v>30.8</v>
      </c>
      <c r="Q41" s="26">
        <f t="shared" si="0"/>
        <v>970.2</v>
      </c>
      <c r="R41" s="27">
        <v>2</v>
      </c>
      <c r="S41" s="2"/>
      <c r="T41" s="2">
        <v>51</v>
      </c>
      <c r="U41" s="2"/>
      <c r="V41" s="10">
        <v>47195</v>
      </c>
      <c r="W41" s="10">
        <v>52810</v>
      </c>
      <c r="X41" s="10">
        <v>34</v>
      </c>
      <c r="Y41" s="10">
        <v>38</v>
      </c>
      <c r="Z41" s="2">
        <f t="shared" ref="Z41:AC41" si="51">_xlfn.RANK.EQ(V41,V$4:V$200)</f>
        <v>97</v>
      </c>
      <c r="AA41" s="2">
        <f t="shared" si="51"/>
        <v>101</v>
      </c>
      <c r="AB41" s="2">
        <f t="shared" si="51"/>
        <v>89</v>
      </c>
      <c r="AC41" s="2">
        <f t="shared" si="51"/>
        <v>93</v>
      </c>
      <c r="AD41" s="10">
        <f t="shared" si="2"/>
        <v>36</v>
      </c>
      <c r="AE41" s="2">
        <v>112</v>
      </c>
      <c r="AF41" s="10">
        <f t="shared" si="3"/>
        <v>38</v>
      </c>
      <c r="AG41" s="2"/>
      <c r="AH41" s="2"/>
      <c r="AI41" s="9">
        <f t="shared" si="45"/>
        <v>108</v>
      </c>
      <c r="AJ41" s="10">
        <f t="shared" si="5"/>
        <v>0</v>
      </c>
      <c r="AK41" s="10">
        <f t="shared" si="6"/>
        <v>0</v>
      </c>
      <c r="AL41" s="9">
        <f t="shared" si="46"/>
        <v>127</v>
      </c>
      <c r="AM41" s="10">
        <f t="shared" si="8"/>
        <v>0</v>
      </c>
      <c r="AN41" s="10">
        <f t="shared" si="9"/>
        <v>0</v>
      </c>
      <c r="AO41" s="10">
        <f t="shared" si="10"/>
        <v>0</v>
      </c>
    </row>
    <row r="42" spans="1:41">
      <c r="A42" s="3">
        <v>10104</v>
      </c>
      <c r="B42" s="2" t="s">
        <v>102</v>
      </c>
      <c r="C42" s="3"/>
      <c r="D42" s="3" t="s">
        <v>46</v>
      </c>
      <c r="E42" s="3" t="s">
        <v>46</v>
      </c>
      <c r="F42" s="3"/>
      <c r="G42" s="3" t="s">
        <v>103</v>
      </c>
      <c r="H42" s="3" t="s">
        <v>69</v>
      </c>
      <c r="I42" s="3" t="s">
        <v>63</v>
      </c>
      <c r="J42" s="3" t="s">
        <v>49</v>
      </c>
      <c r="K42" s="4"/>
      <c r="L42" s="3" t="s">
        <v>55</v>
      </c>
      <c r="M42" s="4">
        <v>7000</v>
      </c>
      <c r="N42" s="2">
        <v>5</v>
      </c>
      <c r="O42" s="5" t="s">
        <v>55</v>
      </c>
      <c r="P42" s="25">
        <v>22.26</v>
      </c>
      <c r="Q42" s="26">
        <f t="shared" si="0"/>
        <v>701.19</v>
      </c>
      <c r="R42" s="27">
        <v>1.5</v>
      </c>
      <c r="S42" s="2"/>
      <c r="T42" s="2">
        <v>51</v>
      </c>
      <c r="U42" s="2"/>
      <c r="V42" s="10">
        <v>29409</v>
      </c>
      <c r="W42" s="10">
        <v>27217</v>
      </c>
      <c r="X42" s="10">
        <v>29</v>
      </c>
      <c r="Y42" s="10">
        <v>27</v>
      </c>
      <c r="Z42" s="2">
        <f t="shared" ref="Z42:AC42" si="52">_xlfn.RANK.EQ(V42,V$4:V$200)</f>
        <v>122</v>
      </c>
      <c r="AA42" s="2">
        <f t="shared" si="52"/>
        <v>149</v>
      </c>
      <c r="AB42" s="2">
        <f t="shared" si="52"/>
        <v>98</v>
      </c>
      <c r="AC42" s="2">
        <f t="shared" si="52"/>
        <v>109</v>
      </c>
      <c r="AD42" s="10">
        <f t="shared" si="2"/>
        <v>28</v>
      </c>
      <c r="AE42" s="2">
        <v>124</v>
      </c>
      <c r="AF42" s="10">
        <f t="shared" si="3"/>
        <v>27</v>
      </c>
      <c r="AG42" s="2"/>
      <c r="AH42" s="2"/>
      <c r="AI42" s="9">
        <f t="shared" si="45"/>
        <v>93</v>
      </c>
      <c r="AJ42" s="10">
        <f t="shared" si="5"/>
        <v>0</v>
      </c>
      <c r="AK42" s="10">
        <f t="shared" si="6"/>
        <v>0</v>
      </c>
      <c r="AL42" s="9">
        <f t="shared" si="46"/>
        <v>93</v>
      </c>
      <c r="AM42" s="10">
        <f t="shared" si="8"/>
        <v>0</v>
      </c>
      <c r="AN42" s="10">
        <f t="shared" si="9"/>
        <v>0</v>
      </c>
      <c r="AO42" s="10">
        <f t="shared" si="10"/>
        <v>0</v>
      </c>
    </row>
    <row r="43" spans="1:41">
      <c r="A43" s="3">
        <v>10233</v>
      </c>
      <c r="B43" s="2" t="s">
        <v>104</v>
      </c>
      <c r="C43" s="3"/>
      <c r="D43" s="3" t="s">
        <v>46</v>
      </c>
      <c r="E43" s="3" t="s">
        <v>60</v>
      </c>
      <c r="F43" s="3" t="s">
        <v>61</v>
      </c>
      <c r="G43" s="3" t="s">
        <v>52</v>
      </c>
      <c r="H43" s="3" t="s">
        <v>69</v>
      </c>
      <c r="I43" s="3" t="s">
        <v>54</v>
      </c>
      <c r="J43" s="3" t="s">
        <v>49</v>
      </c>
      <c r="K43" s="4"/>
      <c r="L43" s="3" t="s">
        <v>55</v>
      </c>
      <c r="M43" s="4">
        <v>7000</v>
      </c>
      <c r="N43" s="2">
        <v>5</v>
      </c>
      <c r="O43" s="5" t="s">
        <v>55</v>
      </c>
      <c r="P43" s="25">
        <v>0</v>
      </c>
      <c r="Q43" s="26">
        <f t="shared" si="0"/>
        <v>0</v>
      </c>
      <c r="R43" s="27">
        <v>2</v>
      </c>
      <c r="S43" s="2"/>
      <c r="T43" s="2">
        <v>51</v>
      </c>
      <c r="U43" s="2"/>
      <c r="V43" s="10">
        <v>27066</v>
      </c>
      <c r="W43" s="10">
        <v>34183</v>
      </c>
      <c r="X43" s="10">
        <v>26</v>
      </c>
      <c r="Y43" s="10">
        <v>33</v>
      </c>
      <c r="Z43" s="2">
        <f t="shared" ref="Z43:AC43" si="53">_xlfn.RANK.EQ(V43,V$4:V$200)</f>
        <v>128</v>
      </c>
      <c r="AA43" s="2">
        <f t="shared" si="53"/>
        <v>131</v>
      </c>
      <c r="AB43" s="2">
        <f t="shared" si="53"/>
        <v>102</v>
      </c>
      <c r="AC43" s="2">
        <f t="shared" si="53"/>
        <v>102</v>
      </c>
      <c r="AD43" s="10">
        <f t="shared" si="2"/>
        <v>29.5</v>
      </c>
      <c r="AE43" s="2">
        <v>121</v>
      </c>
      <c r="AF43" s="10">
        <f t="shared" si="3"/>
        <v>33</v>
      </c>
      <c r="AG43" s="2"/>
      <c r="AH43" s="2"/>
      <c r="AI43" s="9">
        <f t="shared" si="45"/>
        <v>100.5</v>
      </c>
      <c r="AJ43" s="10">
        <f t="shared" si="5"/>
        <v>0</v>
      </c>
      <c r="AK43" s="10">
        <f t="shared" si="6"/>
        <v>0</v>
      </c>
      <c r="AL43" s="9">
        <f t="shared" si="46"/>
        <v>117</v>
      </c>
      <c r="AM43" s="10">
        <f t="shared" si="8"/>
        <v>0</v>
      </c>
      <c r="AN43" s="10">
        <f t="shared" si="9"/>
        <v>0</v>
      </c>
      <c r="AO43" s="10">
        <f t="shared" si="10"/>
        <v>0</v>
      </c>
    </row>
    <row r="44" spans="1:41">
      <c r="A44" s="3">
        <v>10091</v>
      </c>
      <c r="B44" s="2" t="s">
        <v>105</v>
      </c>
      <c r="C44" s="3" t="s">
        <v>46</v>
      </c>
      <c r="D44" s="3" t="s">
        <v>46</v>
      </c>
      <c r="E44" s="3" t="s">
        <v>46</v>
      </c>
      <c r="F44" s="3"/>
      <c r="G44" s="3" t="s">
        <v>106</v>
      </c>
      <c r="H44" s="3"/>
      <c r="I44" s="3" t="s">
        <v>54</v>
      </c>
      <c r="J44" s="3" t="s">
        <v>49</v>
      </c>
      <c r="K44" s="4"/>
      <c r="L44" s="3"/>
      <c r="M44" s="4"/>
      <c r="N44" s="2">
        <v>5</v>
      </c>
      <c r="O44" s="5" t="s">
        <v>50</v>
      </c>
      <c r="P44" s="25">
        <v>333</v>
      </c>
      <c r="Q44" s="26">
        <f t="shared" si="0"/>
        <v>333</v>
      </c>
      <c r="R44" s="27">
        <v>1.5</v>
      </c>
      <c r="S44" s="2"/>
      <c r="T44" s="2">
        <v>183</v>
      </c>
      <c r="U44" s="2"/>
      <c r="V44" s="10">
        <v>215619</v>
      </c>
      <c r="W44" s="10">
        <v>257448</v>
      </c>
      <c r="X44" s="10">
        <v>177</v>
      </c>
      <c r="Y44" s="10">
        <v>212</v>
      </c>
      <c r="Z44" s="2">
        <f t="shared" ref="Z44:AC44" si="54">_xlfn.RANK.EQ(V44,V$4:V$200)</f>
        <v>7</v>
      </c>
      <c r="AA44" s="2">
        <f t="shared" si="54"/>
        <v>9</v>
      </c>
      <c r="AB44" s="2">
        <f t="shared" si="54"/>
        <v>11</v>
      </c>
      <c r="AC44" s="2">
        <f t="shared" si="54"/>
        <v>9</v>
      </c>
      <c r="AD44" s="10">
        <f t="shared" si="2"/>
        <v>194.5</v>
      </c>
      <c r="AE44" s="2">
        <v>192</v>
      </c>
      <c r="AF44" s="10">
        <f t="shared" si="3"/>
        <v>212</v>
      </c>
      <c r="AG44" s="2">
        <v>320</v>
      </c>
      <c r="AH44" s="2"/>
      <c r="AI44" s="9">
        <f t="shared" si="45"/>
        <v>501</v>
      </c>
      <c r="AJ44" s="10">
        <f t="shared" si="5"/>
        <v>205</v>
      </c>
      <c r="AK44" s="10">
        <f t="shared" si="6"/>
        <v>68265</v>
      </c>
      <c r="AL44" s="9">
        <f t="shared" si="46"/>
        <v>501</v>
      </c>
      <c r="AM44" s="10">
        <f t="shared" si="8"/>
        <v>205</v>
      </c>
      <c r="AN44" s="10">
        <f t="shared" si="9"/>
        <v>68265</v>
      </c>
      <c r="AO44" s="10">
        <f t="shared" si="10"/>
        <v>0</v>
      </c>
    </row>
    <row r="45" spans="1:41">
      <c r="A45" s="3">
        <v>10124</v>
      </c>
      <c r="B45" s="2" t="s">
        <v>107</v>
      </c>
      <c r="C45" s="3" t="s">
        <v>46</v>
      </c>
      <c r="D45" s="3" t="s">
        <v>46</v>
      </c>
      <c r="E45" s="3" t="s">
        <v>46</v>
      </c>
      <c r="F45" s="3"/>
      <c r="G45" s="3" t="s">
        <v>106</v>
      </c>
      <c r="H45" s="3"/>
      <c r="I45" s="3" t="s">
        <v>54</v>
      </c>
      <c r="J45" s="3" t="s">
        <v>49</v>
      </c>
      <c r="K45" s="4"/>
      <c r="L45" s="3"/>
      <c r="M45" s="4"/>
      <c r="N45" s="2">
        <v>5</v>
      </c>
      <c r="O45" s="5" t="s">
        <v>50</v>
      </c>
      <c r="P45" s="25">
        <v>250</v>
      </c>
      <c r="Q45" s="26">
        <f t="shared" si="0"/>
        <v>250</v>
      </c>
      <c r="R45" s="27">
        <v>1.5</v>
      </c>
      <c r="S45" s="2"/>
      <c r="T45" s="2">
        <v>102</v>
      </c>
      <c r="U45" s="2"/>
      <c r="V45" s="10">
        <v>111910</v>
      </c>
      <c r="W45" s="10">
        <v>142025</v>
      </c>
      <c r="X45" s="10">
        <v>59</v>
      </c>
      <c r="Y45" s="10">
        <v>75</v>
      </c>
      <c r="Z45" s="2">
        <f t="shared" ref="Z45:AC45" si="55">_xlfn.RANK.EQ(V45,V$4:V$200)</f>
        <v>33</v>
      </c>
      <c r="AA45" s="2">
        <f t="shared" si="55"/>
        <v>26</v>
      </c>
      <c r="AB45" s="2">
        <f t="shared" si="55"/>
        <v>53</v>
      </c>
      <c r="AC45" s="2">
        <f t="shared" si="55"/>
        <v>47</v>
      </c>
      <c r="AD45" s="10">
        <f t="shared" si="2"/>
        <v>67</v>
      </c>
      <c r="AE45" s="2">
        <v>507</v>
      </c>
      <c r="AF45" s="10">
        <f t="shared" si="3"/>
        <v>75</v>
      </c>
      <c r="AG45" s="2">
        <v>120</v>
      </c>
      <c r="AH45" s="2"/>
      <c r="AI45" s="9">
        <f t="shared" si="45"/>
        <v>214.5</v>
      </c>
      <c r="AJ45" s="10">
        <f t="shared" si="5"/>
        <v>0</v>
      </c>
      <c r="AK45" s="10">
        <f t="shared" si="6"/>
        <v>0</v>
      </c>
      <c r="AL45" s="9">
        <f t="shared" si="46"/>
        <v>214.5</v>
      </c>
      <c r="AM45" s="10">
        <f t="shared" si="8"/>
        <v>0</v>
      </c>
      <c r="AN45" s="10">
        <f t="shared" si="9"/>
        <v>0</v>
      </c>
      <c r="AO45" s="10">
        <f t="shared" si="10"/>
        <v>0</v>
      </c>
    </row>
    <row r="46" spans="1:41">
      <c r="A46" s="3">
        <v>10356</v>
      </c>
      <c r="B46" s="2" t="s">
        <v>108</v>
      </c>
      <c r="C46" s="3"/>
      <c r="D46" s="3" t="s">
        <v>46</v>
      </c>
      <c r="E46" s="3" t="s">
        <v>46</v>
      </c>
      <c r="F46" s="3"/>
      <c r="G46" s="3" t="s">
        <v>106</v>
      </c>
      <c r="H46" s="3"/>
      <c r="I46" s="3" t="s">
        <v>54</v>
      </c>
      <c r="J46" s="3" t="s">
        <v>49</v>
      </c>
      <c r="K46" s="4"/>
      <c r="L46" s="3"/>
      <c r="M46" s="4"/>
      <c r="N46" s="2">
        <v>5</v>
      </c>
      <c r="O46" s="5" t="s">
        <v>50</v>
      </c>
      <c r="P46" s="25">
        <v>399</v>
      </c>
      <c r="Q46" s="26">
        <f t="shared" si="0"/>
        <v>399</v>
      </c>
      <c r="R46" s="27">
        <v>1.5</v>
      </c>
      <c r="S46" s="2"/>
      <c r="T46" s="2">
        <v>102</v>
      </c>
      <c r="U46" s="2"/>
      <c r="V46" s="10">
        <v>122657</v>
      </c>
      <c r="W46" s="10">
        <v>139397</v>
      </c>
      <c r="X46" s="10">
        <v>117</v>
      </c>
      <c r="Y46" s="10">
        <v>133</v>
      </c>
      <c r="Z46" s="2">
        <f t="shared" ref="Z46:AC46" si="56">_xlfn.RANK.EQ(V46,V$4:V$200)</f>
        <v>25</v>
      </c>
      <c r="AA46" s="2">
        <f t="shared" si="56"/>
        <v>28</v>
      </c>
      <c r="AB46" s="2">
        <f t="shared" si="56"/>
        <v>22</v>
      </c>
      <c r="AC46" s="2">
        <f t="shared" si="56"/>
        <v>23</v>
      </c>
      <c r="AD46" s="10">
        <f t="shared" si="2"/>
        <v>125</v>
      </c>
      <c r="AE46" s="2">
        <v>83</v>
      </c>
      <c r="AF46" s="10">
        <f t="shared" si="3"/>
        <v>133</v>
      </c>
      <c r="AG46" s="2">
        <v>450</v>
      </c>
      <c r="AH46" s="2"/>
      <c r="AI46" s="9">
        <f t="shared" si="45"/>
        <v>301.5</v>
      </c>
      <c r="AJ46" s="10">
        <f t="shared" si="5"/>
        <v>0</v>
      </c>
      <c r="AK46" s="10">
        <f t="shared" si="6"/>
        <v>0</v>
      </c>
      <c r="AL46" s="9">
        <f t="shared" si="46"/>
        <v>301.5</v>
      </c>
      <c r="AM46" s="10">
        <f t="shared" si="8"/>
        <v>0</v>
      </c>
      <c r="AN46" s="10">
        <f t="shared" si="9"/>
        <v>0</v>
      </c>
      <c r="AO46" s="10">
        <f t="shared" si="10"/>
        <v>0</v>
      </c>
    </row>
    <row r="47" spans="1:41" ht="15.75" customHeight="1">
      <c r="A47" s="3">
        <v>10357</v>
      </c>
      <c r="B47" s="2" t="s">
        <v>109</v>
      </c>
      <c r="C47" s="3"/>
      <c r="D47" s="3" t="s">
        <v>46</v>
      </c>
      <c r="E47" s="3" t="s">
        <v>46</v>
      </c>
      <c r="F47" s="3"/>
      <c r="G47" s="3" t="s">
        <v>75</v>
      </c>
      <c r="H47" s="3" t="s">
        <v>110</v>
      </c>
      <c r="I47" s="3" t="s">
        <v>48</v>
      </c>
      <c r="J47" s="3" t="s">
        <v>49</v>
      </c>
      <c r="K47" s="4"/>
      <c r="L47" s="29" t="s">
        <v>55</v>
      </c>
      <c r="M47" s="30">
        <v>6000</v>
      </c>
      <c r="N47" s="31">
        <v>5</v>
      </c>
      <c r="O47" s="5" t="s">
        <v>55</v>
      </c>
      <c r="P47" s="25">
        <v>33</v>
      </c>
      <c r="Q47" s="26">
        <f t="shared" si="0"/>
        <v>1039.5</v>
      </c>
      <c r="R47" s="27">
        <v>1.5</v>
      </c>
      <c r="S47" s="2"/>
      <c r="T47" s="2">
        <v>51</v>
      </c>
      <c r="U47" s="2"/>
      <c r="V47" s="10">
        <v>15960</v>
      </c>
      <c r="W47" s="10">
        <v>28648</v>
      </c>
      <c r="X47" s="10">
        <v>10</v>
      </c>
      <c r="Y47" s="10">
        <v>18</v>
      </c>
      <c r="Z47" s="2">
        <f t="shared" ref="Z47:AC47" si="57">_xlfn.RANK.EQ(V47,V$4:V$200)</f>
        <v>150</v>
      </c>
      <c r="AA47" s="2">
        <f t="shared" si="57"/>
        <v>145</v>
      </c>
      <c r="AB47" s="2">
        <f t="shared" si="57"/>
        <v>148</v>
      </c>
      <c r="AC47" s="2">
        <f t="shared" si="57"/>
        <v>142</v>
      </c>
      <c r="AD47" s="10">
        <f t="shared" si="2"/>
        <v>14</v>
      </c>
      <c r="AE47" s="2">
        <v>152</v>
      </c>
      <c r="AF47" s="10">
        <f t="shared" si="3"/>
        <v>18</v>
      </c>
      <c r="AG47" s="2"/>
      <c r="AH47" s="2"/>
      <c r="AI47" s="9">
        <f t="shared" si="45"/>
        <v>78</v>
      </c>
      <c r="AJ47" s="10">
        <f t="shared" si="5"/>
        <v>0</v>
      </c>
      <c r="AK47" s="10">
        <f t="shared" si="6"/>
        <v>0</v>
      </c>
      <c r="AL47" s="9">
        <f t="shared" si="46"/>
        <v>78</v>
      </c>
      <c r="AM47" s="10">
        <f t="shared" si="8"/>
        <v>0</v>
      </c>
      <c r="AN47" s="10">
        <f t="shared" si="9"/>
        <v>0</v>
      </c>
      <c r="AO47" s="10">
        <f t="shared" si="10"/>
        <v>0</v>
      </c>
    </row>
    <row r="48" spans="1:41" ht="15.75" customHeight="1">
      <c r="A48" s="3">
        <v>10196</v>
      </c>
      <c r="B48" s="2" t="s">
        <v>111</v>
      </c>
      <c r="C48" s="3" t="s">
        <v>46</v>
      </c>
      <c r="D48" s="3" t="s">
        <v>46</v>
      </c>
      <c r="E48" s="3" t="s">
        <v>60</v>
      </c>
      <c r="F48" s="3" t="s">
        <v>61</v>
      </c>
      <c r="G48" s="3" t="s">
        <v>75</v>
      </c>
      <c r="H48" s="3" t="s">
        <v>110</v>
      </c>
      <c r="I48" s="3" t="s">
        <v>48</v>
      </c>
      <c r="J48" s="3" t="s">
        <v>49</v>
      </c>
      <c r="K48" s="4"/>
      <c r="L48" s="29" t="s">
        <v>55</v>
      </c>
      <c r="M48" s="30">
        <v>6000</v>
      </c>
      <c r="N48" s="2">
        <v>54</v>
      </c>
      <c r="O48" s="5" t="s">
        <v>55</v>
      </c>
      <c r="P48" s="25">
        <v>23.52</v>
      </c>
      <c r="Q48" s="26">
        <f t="shared" si="0"/>
        <v>740.88</v>
      </c>
      <c r="R48" s="27">
        <v>1.5</v>
      </c>
      <c r="S48" s="2"/>
      <c r="T48" s="2">
        <v>51</v>
      </c>
      <c r="U48" s="2"/>
      <c r="V48" s="10">
        <v>14197</v>
      </c>
      <c r="W48" s="10">
        <v>22171</v>
      </c>
      <c r="X48" s="10">
        <v>12</v>
      </c>
      <c r="Y48" s="10">
        <v>19</v>
      </c>
      <c r="Z48" s="2">
        <f t="shared" ref="Z48:AC48" si="58">_xlfn.RANK.EQ(V48,V$4:V$200)</f>
        <v>153</v>
      </c>
      <c r="AA48" s="2">
        <f t="shared" si="58"/>
        <v>160</v>
      </c>
      <c r="AB48" s="2">
        <f t="shared" si="58"/>
        <v>140</v>
      </c>
      <c r="AC48" s="2">
        <f t="shared" si="58"/>
        <v>135</v>
      </c>
      <c r="AD48" s="10">
        <f t="shared" si="2"/>
        <v>15.5</v>
      </c>
      <c r="AE48" s="2">
        <v>103</v>
      </c>
      <c r="AF48" s="10">
        <f t="shared" si="3"/>
        <v>19</v>
      </c>
      <c r="AG48" s="2"/>
      <c r="AH48" s="2"/>
      <c r="AI48" s="9">
        <f t="shared" si="45"/>
        <v>79.5</v>
      </c>
      <c r="AJ48" s="10">
        <f t="shared" si="5"/>
        <v>0</v>
      </c>
      <c r="AK48" s="10">
        <f t="shared" si="6"/>
        <v>0</v>
      </c>
      <c r="AL48" s="9">
        <f t="shared" si="46"/>
        <v>79.5</v>
      </c>
      <c r="AM48" s="10">
        <f t="shared" si="8"/>
        <v>0</v>
      </c>
      <c r="AN48" s="10">
        <f t="shared" si="9"/>
        <v>0</v>
      </c>
      <c r="AO48" s="10">
        <f t="shared" si="10"/>
        <v>0</v>
      </c>
    </row>
    <row r="49" spans="1:41">
      <c r="A49" s="3">
        <v>10257</v>
      </c>
      <c r="B49" s="2" t="s">
        <v>112</v>
      </c>
      <c r="C49" s="3" t="s">
        <v>46</v>
      </c>
      <c r="D49" s="3" t="s">
        <v>46</v>
      </c>
      <c r="E49" s="3" t="s">
        <v>60</v>
      </c>
      <c r="F49" s="3" t="s">
        <v>61</v>
      </c>
      <c r="G49" s="3" t="s">
        <v>113</v>
      </c>
      <c r="H49" s="3"/>
      <c r="I49" s="3" t="s">
        <v>114</v>
      </c>
      <c r="J49" s="3" t="s">
        <v>115</v>
      </c>
      <c r="K49" s="4"/>
      <c r="L49" s="3"/>
      <c r="M49" s="4"/>
      <c r="N49" s="2">
        <v>5</v>
      </c>
      <c r="O49" s="5" t="s">
        <v>50</v>
      </c>
      <c r="P49" s="25">
        <v>676</v>
      </c>
      <c r="Q49" s="26">
        <f t="shared" si="0"/>
        <v>676</v>
      </c>
      <c r="R49" s="27">
        <v>1.5</v>
      </c>
      <c r="S49" s="2"/>
      <c r="T49" s="2">
        <v>51</v>
      </c>
      <c r="U49" s="2"/>
      <c r="V49" s="10">
        <v>17995</v>
      </c>
      <c r="W49" s="10">
        <v>32276</v>
      </c>
      <c r="X49" s="10">
        <v>14</v>
      </c>
      <c r="Y49" s="10">
        <v>25</v>
      </c>
      <c r="Z49" s="2">
        <f t="shared" ref="Z49:AC49" si="59">_xlfn.RANK.EQ(V49,V$4:V$200)</f>
        <v>145</v>
      </c>
      <c r="AA49" s="2">
        <f t="shared" si="59"/>
        <v>136</v>
      </c>
      <c r="AB49" s="2">
        <f t="shared" si="59"/>
        <v>132</v>
      </c>
      <c r="AC49" s="2">
        <f t="shared" si="59"/>
        <v>116</v>
      </c>
      <c r="AD49" s="10">
        <f t="shared" si="2"/>
        <v>19.5</v>
      </c>
      <c r="AE49" s="2">
        <v>49</v>
      </c>
      <c r="AF49" s="10">
        <f t="shared" si="3"/>
        <v>25</v>
      </c>
      <c r="AG49" s="2"/>
      <c r="AH49" s="2">
        <v>0</v>
      </c>
      <c r="AI49" s="9">
        <f t="shared" si="45"/>
        <v>88.5</v>
      </c>
      <c r="AJ49" s="10">
        <f t="shared" si="5"/>
        <v>0</v>
      </c>
      <c r="AK49" s="10">
        <f t="shared" si="6"/>
        <v>0</v>
      </c>
      <c r="AL49" s="9">
        <f t="shared" si="46"/>
        <v>88.5</v>
      </c>
      <c r="AM49" s="10">
        <f t="shared" si="8"/>
        <v>0</v>
      </c>
      <c r="AN49" s="10">
        <f t="shared" si="9"/>
        <v>0</v>
      </c>
      <c r="AO49" s="10">
        <f t="shared" si="10"/>
        <v>0</v>
      </c>
    </row>
    <row r="50" spans="1:41">
      <c r="A50" s="3">
        <v>10258</v>
      </c>
      <c r="B50" s="2" t="s">
        <v>116</v>
      </c>
      <c r="C50" s="3" t="s">
        <v>46</v>
      </c>
      <c r="D50" s="3" t="s">
        <v>46</v>
      </c>
      <c r="E50" s="3" t="s">
        <v>46</v>
      </c>
      <c r="F50" s="3"/>
      <c r="G50" s="3" t="s">
        <v>113</v>
      </c>
      <c r="H50" s="3"/>
      <c r="I50" s="3" t="s">
        <v>114</v>
      </c>
      <c r="J50" s="3" t="s">
        <v>115</v>
      </c>
      <c r="K50" s="4"/>
      <c r="L50" s="3"/>
      <c r="M50" s="4"/>
      <c r="N50" s="2">
        <v>5</v>
      </c>
      <c r="O50" s="5" t="s">
        <v>50</v>
      </c>
      <c r="P50" s="25">
        <v>494</v>
      </c>
      <c r="Q50" s="26">
        <f t="shared" si="0"/>
        <v>494</v>
      </c>
      <c r="R50" s="27">
        <v>1.5</v>
      </c>
      <c r="S50" s="2"/>
      <c r="T50" s="2">
        <v>102</v>
      </c>
      <c r="U50" s="2"/>
      <c r="V50" s="10">
        <v>57409</v>
      </c>
      <c r="W50" s="10">
        <v>69990</v>
      </c>
      <c r="X50" s="10">
        <v>61</v>
      </c>
      <c r="Y50" s="10">
        <v>74</v>
      </c>
      <c r="Z50" s="2">
        <f t="shared" ref="Z50:AC50" si="60">_xlfn.RANK.EQ(V50,V$4:V$200)</f>
        <v>79</v>
      </c>
      <c r="AA50" s="2">
        <f t="shared" si="60"/>
        <v>80</v>
      </c>
      <c r="AB50" s="2">
        <f t="shared" si="60"/>
        <v>50</v>
      </c>
      <c r="AC50" s="2">
        <f t="shared" si="60"/>
        <v>48</v>
      </c>
      <c r="AD50" s="10">
        <f t="shared" si="2"/>
        <v>67.5</v>
      </c>
      <c r="AE50" s="2">
        <v>183</v>
      </c>
      <c r="AF50" s="10">
        <f t="shared" si="3"/>
        <v>74</v>
      </c>
      <c r="AG50" s="2"/>
      <c r="AH50" s="2">
        <v>0</v>
      </c>
      <c r="AI50" s="9">
        <f t="shared" si="45"/>
        <v>213</v>
      </c>
      <c r="AJ50" s="10">
        <f t="shared" si="5"/>
        <v>105</v>
      </c>
      <c r="AK50" s="10">
        <f t="shared" si="6"/>
        <v>51870</v>
      </c>
      <c r="AL50" s="9">
        <f t="shared" si="46"/>
        <v>213</v>
      </c>
      <c r="AM50" s="10">
        <f t="shared" si="8"/>
        <v>105</v>
      </c>
      <c r="AN50" s="10">
        <f t="shared" si="9"/>
        <v>51870</v>
      </c>
      <c r="AO50" s="10">
        <f t="shared" si="10"/>
        <v>0</v>
      </c>
    </row>
    <row r="51" spans="1:41">
      <c r="A51" s="3">
        <v>10503</v>
      </c>
      <c r="B51" s="2" t="s">
        <v>117</v>
      </c>
      <c r="C51" s="3"/>
      <c r="D51" s="3" t="s">
        <v>46</v>
      </c>
      <c r="E51" s="3" t="s">
        <v>46</v>
      </c>
      <c r="F51" s="3"/>
      <c r="G51" s="3" t="s">
        <v>118</v>
      </c>
      <c r="H51" s="3"/>
      <c r="I51" s="3" t="s">
        <v>119</v>
      </c>
      <c r="J51" s="3" t="s">
        <v>49</v>
      </c>
      <c r="K51" s="4"/>
      <c r="L51" s="3"/>
      <c r="M51" s="4"/>
      <c r="N51" s="2">
        <v>5</v>
      </c>
      <c r="O51" s="5" t="s">
        <v>120</v>
      </c>
      <c r="P51" s="25">
        <v>8.07</v>
      </c>
      <c r="Q51" s="26">
        <f t="shared" si="0"/>
        <v>298.59000000000003</v>
      </c>
      <c r="R51" s="27">
        <v>1.5</v>
      </c>
      <c r="S51" s="2"/>
      <c r="T51" s="2">
        <v>102</v>
      </c>
      <c r="U51" s="2"/>
      <c r="V51" s="10">
        <v>58409</v>
      </c>
      <c r="W51" s="10">
        <v>75040</v>
      </c>
      <c r="X51" s="10">
        <v>87</v>
      </c>
      <c r="Y51" s="10">
        <v>112</v>
      </c>
      <c r="Z51" s="2">
        <f t="shared" ref="Z51:AC51" si="61">_xlfn.RANK.EQ(V51,V$4:V$200)</f>
        <v>76</v>
      </c>
      <c r="AA51" s="2">
        <f t="shared" si="61"/>
        <v>74</v>
      </c>
      <c r="AB51" s="2">
        <f t="shared" si="61"/>
        <v>31</v>
      </c>
      <c r="AC51" s="2">
        <f t="shared" si="61"/>
        <v>29</v>
      </c>
      <c r="AD51" s="10">
        <f t="shared" si="2"/>
        <v>99.5</v>
      </c>
      <c r="AE51" s="2">
        <v>213</v>
      </c>
      <c r="AF51" s="10">
        <f t="shared" si="3"/>
        <v>112</v>
      </c>
      <c r="AG51" s="2">
        <v>250</v>
      </c>
      <c r="AH51" s="2"/>
      <c r="AI51" s="9">
        <f t="shared" si="45"/>
        <v>270</v>
      </c>
      <c r="AJ51" s="10">
        <f t="shared" si="5"/>
        <v>0</v>
      </c>
      <c r="AK51" s="10">
        <f t="shared" si="6"/>
        <v>0</v>
      </c>
      <c r="AL51" s="9">
        <f t="shared" si="46"/>
        <v>270</v>
      </c>
      <c r="AM51" s="10">
        <f t="shared" si="8"/>
        <v>0</v>
      </c>
      <c r="AN51" s="10">
        <f t="shared" si="9"/>
        <v>0</v>
      </c>
      <c r="AO51" s="10">
        <f t="shared" si="10"/>
        <v>0</v>
      </c>
    </row>
    <row r="52" spans="1:41">
      <c r="A52" s="3">
        <v>10502</v>
      </c>
      <c r="B52" s="2" t="s">
        <v>121</v>
      </c>
      <c r="C52" s="3"/>
      <c r="D52" s="3" t="s">
        <v>46</v>
      </c>
      <c r="E52" s="3" t="s">
        <v>46</v>
      </c>
      <c r="F52" s="3"/>
      <c r="G52" s="3" t="s">
        <v>118</v>
      </c>
      <c r="H52" s="3"/>
      <c r="I52" s="3" t="s">
        <v>119</v>
      </c>
      <c r="J52" s="3" t="s">
        <v>49</v>
      </c>
      <c r="K52" s="4"/>
      <c r="L52" s="3"/>
      <c r="M52" s="4"/>
      <c r="N52" s="2">
        <v>5</v>
      </c>
      <c r="O52" s="5" t="s">
        <v>120</v>
      </c>
      <c r="P52" s="25">
        <v>8.6</v>
      </c>
      <c r="Q52" s="26">
        <f t="shared" si="0"/>
        <v>318.2</v>
      </c>
      <c r="R52" s="27">
        <v>1.5</v>
      </c>
      <c r="S52" s="2"/>
      <c r="T52" s="2">
        <v>102</v>
      </c>
      <c r="U52" s="2"/>
      <c r="V52" s="10">
        <v>25704</v>
      </c>
      <c r="W52" s="10">
        <v>32910</v>
      </c>
      <c r="X52" s="10">
        <v>36</v>
      </c>
      <c r="Y52" s="10">
        <v>46</v>
      </c>
      <c r="Z52" s="2">
        <f t="shared" ref="Z52:AC52" si="62">_xlfn.RANK.EQ(V52,V$4:V$200)</f>
        <v>129</v>
      </c>
      <c r="AA52" s="2">
        <f t="shared" si="62"/>
        <v>134</v>
      </c>
      <c r="AB52" s="2">
        <f t="shared" si="62"/>
        <v>85</v>
      </c>
      <c r="AC52" s="2">
        <f t="shared" si="62"/>
        <v>81</v>
      </c>
      <c r="AD52" s="10">
        <f t="shared" si="2"/>
        <v>41</v>
      </c>
      <c r="AE52" s="2">
        <v>264</v>
      </c>
      <c r="AF52" s="10">
        <f t="shared" si="3"/>
        <v>46</v>
      </c>
      <c r="AG52" s="2"/>
      <c r="AH52" s="2"/>
      <c r="AI52" s="9">
        <f t="shared" si="45"/>
        <v>171</v>
      </c>
      <c r="AJ52" s="10">
        <f t="shared" si="5"/>
        <v>0</v>
      </c>
      <c r="AK52" s="10">
        <f t="shared" si="6"/>
        <v>0</v>
      </c>
      <c r="AL52" s="9">
        <f t="shared" si="46"/>
        <v>171</v>
      </c>
      <c r="AM52" s="10">
        <f t="shared" si="8"/>
        <v>0</v>
      </c>
      <c r="AN52" s="10">
        <f t="shared" si="9"/>
        <v>0</v>
      </c>
      <c r="AO52" s="10">
        <f t="shared" si="10"/>
        <v>0</v>
      </c>
    </row>
    <row r="53" spans="1:41">
      <c r="A53" s="3">
        <v>10360</v>
      </c>
      <c r="B53" s="2" t="s">
        <v>122</v>
      </c>
      <c r="C53" s="3" t="s">
        <v>46</v>
      </c>
      <c r="D53" s="3" t="s">
        <v>46</v>
      </c>
      <c r="E53" s="3" t="s">
        <v>46</v>
      </c>
      <c r="F53" s="3"/>
      <c r="G53" s="3" t="s">
        <v>118</v>
      </c>
      <c r="H53" s="3"/>
      <c r="I53" s="3" t="s">
        <v>119</v>
      </c>
      <c r="J53" s="3" t="s">
        <v>49</v>
      </c>
      <c r="K53" s="4"/>
      <c r="L53" s="3"/>
      <c r="M53" s="4"/>
      <c r="N53" s="2">
        <v>5</v>
      </c>
      <c r="O53" s="5" t="s">
        <v>120</v>
      </c>
      <c r="P53" s="25">
        <v>7.32</v>
      </c>
      <c r="Q53" s="26">
        <f t="shared" si="0"/>
        <v>270.84000000000003</v>
      </c>
      <c r="R53" s="27">
        <v>1.5</v>
      </c>
      <c r="S53" s="2"/>
      <c r="T53" s="2">
        <v>153</v>
      </c>
      <c r="U53" s="2"/>
      <c r="V53" s="10">
        <v>46868</v>
      </c>
      <c r="W53" s="10">
        <v>54690</v>
      </c>
      <c r="X53" s="10">
        <v>77</v>
      </c>
      <c r="Y53" s="10">
        <v>90</v>
      </c>
      <c r="Z53" s="2">
        <f t="shared" ref="Z53:AC53" si="63">_xlfn.RANK.EQ(V53,V$4:V$200)</f>
        <v>99</v>
      </c>
      <c r="AA53" s="2">
        <f t="shared" si="63"/>
        <v>98</v>
      </c>
      <c r="AB53" s="2">
        <f t="shared" si="63"/>
        <v>36</v>
      </c>
      <c r="AC53" s="2">
        <f t="shared" si="63"/>
        <v>38</v>
      </c>
      <c r="AD53" s="10">
        <f t="shared" si="2"/>
        <v>83.5</v>
      </c>
      <c r="AE53" s="2">
        <v>363</v>
      </c>
      <c r="AF53" s="10">
        <f t="shared" si="3"/>
        <v>90</v>
      </c>
      <c r="AG53" s="2"/>
      <c r="AH53" s="2"/>
      <c r="AI53" s="9">
        <f t="shared" si="45"/>
        <v>288</v>
      </c>
      <c r="AJ53" s="10">
        <f t="shared" si="5"/>
        <v>15</v>
      </c>
      <c r="AK53" s="10">
        <f t="shared" si="6"/>
        <v>4062.6000000000004</v>
      </c>
      <c r="AL53" s="9">
        <f t="shared" si="46"/>
        <v>288</v>
      </c>
      <c r="AM53" s="10">
        <f t="shared" si="8"/>
        <v>15</v>
      </c>
      <c r="AN53" s="10">
        <f t="shared" si="9"/>
        <v>4062.6000000000004</v>
      </c>
      <c r="AO53" s="10">
        <f t="shared" si="10"/>
        <v>0</v>
      </c>
    </row>
    <row r="54" spans="1:41">
      <c r="A54" s="3">
        <v>10167</v>
      </c>
      <c r="B54" s="2" t="s">
        <v>123</v>
      </c>
      <c r="C54" s="3" t="s">
        <v>46</v>
      </c>
      <c r="D54" s="3" t="s">
        <v>46</v>
      </c>
      <c r="E54" s="3" t="s">
        <v>46</v>
      </c>
      <c r="F54" s="3"/>
      <c r="G54" s="3" t="s">
        <v>118</v>
      </c>
      <c r="H54" s="3"/>
      <c r="I54" s="3" t="s">
        <v>119</v>
      </c>
      <c r="J54" s="3" t="s">
        <v>49</v>
      </c>
      <c r="K54" s="4"/>
      <c r="L54" s="3"/>
      <c r="M54" s="4"/>
      <c r="N54" s="2">
        <v>5</v>
      </c>
      <c r="O54" s="5" t="s">
        <v>120</v>
      </c>
      <c r="P54" s="25">
        <v>7.17</v>
      </c>
      <c r="Q54" s="26">
        <f t="shared" si="0"/>
        <v>265.29000000000002</v>
      </c>
      <c r="R54" s="27">
        <v>1.5</v>
      </c>
      <c r="S54" s="2"/>
      <c r="T54" s="2">
        <v>204</v>
      </c>
      <c r="U54" s="2"/>
      <c r="V54" s="10">
        <v>40923</v>
      </c>
      <c r="W54" s="10">
        <v>33054</v>
      </c>
      <c r="X54" s="10">
        <v>72</v>
      </c>
      <c r="Y54" s="10">
        <v>58</v>
      </c>
      <c r="Z54" s="2">
        <f t="shared" ref="Z54:AC54" si="64">_xlfn.RANK.EQ(V54,V$4:V$200)</f>
        <v>103</v>
      </c>
      <c r="AA54" s="2">
        <f t="shared" si="64"/>
        <v>133</v>
      </c>
      <c r="AB54" s="2">
        <f t="shared" si="64"/>
        <v>40</v>
      </c>
      <c r="AC54" s="2">
        <f t="shared" si="64"/>
        <v>62</v>
      </c>
      <c r="AD54" s="10">
        <f t="shared" si="2"/>
        <v>65</v>
      </c>
      <c r="AE54" s="2">
        <v>498</v>
      </c>
      <c r="AF54" s="10">
        <f t="shared" si="3"/>
        <v>58</v>
      </c>
      <c r="AG54" s="2"/>
      <c r="AH54" s="2"/>
      <c r="AI54" s="9">
        <f t="shared" si="45"/>
        <v>301.5</v>
      </c>
      <c r="AJ54" s="10">
        <f t="shared" si="5"/>
        <v>0</v>
      </c>
      <c r="AK54" s="10">
        <f t="shared" si="6"/>
        <v>0</v>
      </c>
      <c r="AL54" s="9">
        <f t="shared" si="46"/>
        <v>301.5</v>
      </c>
      <c r="AM54" s="10">
        <f t="shared" si="8"/>
        <v>0</v>
      </c>
      <c r="AN54" s="10">
        <f t="shared" si="9"/>
        <v>0</v>
      </c>
      <c r="AO54" s="10">
        <f t="shared" si="10"/>
        <v>0</v>
      </c>
    </row>
    <row r="55" spans="1:41">
      <c r="A55" s="3">
        <v>10501</v>
      </c>
      <c r="B55" s="2" t="s">
        <v>124</v>
      </c>
      <c r="C55" s="3"/>
      <c r="D55" s="3" t="s">
        <v>46</v>
      </c>
      <c r="E55" s="3" t="s">
        <v>46</v>
      </c>
      <c r="F55" s="3"/>
      <c r="G55" s="3" t="s">
        <v>52</v>
      </c>
      <c r="H55" s="3"/>
      <c r="I55" s="3" t="s">
        <v>54</v>
      </c>
      <c r="J55" s="3" t="s">
        <v>115</v>
      </c>
      <c r="K55" s="4"/>
      <c r="L55" s="3"/>
      <c r="M55" s="4"/>
      <c r="N55" s="2">
        <v>5</v>
      </c>
      <c r="O55" s="5" t="s">
        <v>50</v>
      </c>
      <c r="P55" s="25">
        <v>378</v>
      </c>
      <c r="Q55" s="26">
        <f t="shared" si="0"/>
        <v>378</v>
      </c>
      <c r="R55" s="27">
        <v>2</v>
      </c>
      <c r="S55" s="2"/>
      <c r="T55" s="2">
        <v>51</v>
      </c>
      <c r="U55" s="2"/>
      <c r="V55" s="10">
        <v>3243</v>
      </c>
      <c r="W55" s="10">
        <v>12465</v>
      </c>
      <c r="X55" s="10">
        <v>4</v>
      </c>
      <c r="Y55" s="10">
        <v>15</v>
      </c>
      <c r="Z55" s="2">
        <f t="shared" ref="Z55:AC55" si="65">_xlfn.RANK.EQ(V55,V$4:V$200)</f>
        <v>166</v>
      </c>
      <c r="AA55" s="2">
        <f t="shared" si="65"/>
        <v>179</v>
      </c>
      <c r="AB55" s="2">
        <f t="shared" si="65"/>
        <v>167</v>
      </c>
      <c r="AC55" s="2">
        <f t="shared" si="65"/>
        <v>152</v>
      </c>
      <c r="AD55" s="10">
        <f t="shared" si="2"/>
        <v>9.5</v>
      </c>
      <c r="AE55" s="2">
        <v>196</v>
      </c>
      <c r="AF55" s="10">
        <f t="shared" si="3"/>
        <v>15</v>
      </c>
      <c r="AG55" s="2"/>
      <c r="AH55" s="2">
        <v>0</v>
      </c>
      <c r="AI55" s="9">
        <f t="shared" si="45"/>
        <v>73.5</v>
      </c>
      <c r="AJ55" s="10">
        <f t="shared" si="5"/>
        <v>0</v>
      </c>
      <c r="AK55" s="10">
        <f t="shared" si="6"/>
        <v>0</v>
      </c>
      <c r="AL55" s="9">
        <f t="shared" si="46"/>
        <v>81</v>
      </c>
      <c r="AM55" s="10">
        <f t="shared" si="8"/>
        <v>0</v>
      </c>
      <c r="AN55" s="10">
        <f t="shared" si="9"/>
        <v>0</v>
      </c>
      <c r="AO55" s="10">
        <f t="shared" si="10"/>
        <v>0</v>
      </c>
    </row>
    <row r="56" spans="1:41">
      <c r="A56" s="3">
        <v>10044</v>
      </c>
      <c r="B56" s="2" t="s">
        <v>125</v>
      </c>
      <c r="C56" s="3" t="s">
        <v>46</v>
      </c>
      <c r="D56" s="3" t="s">
        <v>46</v>
      </c>
      <c r="E56" s="3" t="s">
        <v>46</v>
      </c>
      <c r="F56" s="3"/>
      <c r="G56" s="3" t="s">
        <v>75</v>
      </c>
      <c r="H56" s="3"/>
      <c r="I56" s="3" t="s">
        <v>48</v>
      </c>
      <c r="J56" s="3" t="s">
        <v>49</v>
      </c>
      <c r="K56" s="4"/>
      <c r="L56" s="3" t="s">
        <v>55</v>
      </c>
      <c r="M56" s="4">
        <v>8000</v>
      </c>
      <c r="N56" s="2">
        <v>72</v>
      </c>
      <c r="O56" s="5" t="s">
        <v>55</v>
      </c>
      <c r="P56" s="25">
        <v>20.16</v>
      </c>
      <c r="Q56" s="26">
        <f t="shared" si="0"/>
        <v>635.04</v>
      </c>
      <c r="R56" s="27">
        <v>1.5</v>
      </c>
      <c r="S56" s="2"/>
      <c r="T56" s="2">
        <v>153</v>
      </c>
      <c r="U56" s="2"/>
      <c r="V56" s="10">
        <v>111903</v>
      </c>
      <c r="W56" s="10">
        <v>119998</v>
      </c>
      <c r="X56" s="10">
        <v>119</v>
      </c>
      <c r="Y56" s="10">
        <v>128</v>
      </c>
      <c r="Z56" s="2">
        <f t="shared" ref="Z56:AC56" si="66">_xlfn.RANK.EQ(V56,V$4:V$200)</f>
        <v>34</v>
      </c>
      <c r="AA56" s="2">
        <f t="shared" si="66"/>
        <v>39</v>
      </c>
      <c r="AB56" s="2">
        <f t="shared" si="66"/>
        <v>20</v>
      </c>
      <c r="AC56" s="2">
        <f t="shared" si="66"/>
        <v>24</v>
      </c>
      <c r="AD56" s="10">
        <f t="shared" si="2"/>
        <v>123.5</v>
      </c>
      <c r="AE56" s="2">
        <v>456</v>
      </c>
      <c r="AF56" s="10">
        <f t="shared" si="3"/>
        <v>128</v>
      </c>
      <c r="AG56" s="2"/>
      <c r="AH56" s="2">
        <v>144</v>
      </c>
      <c r="AI56" s="9">
        <f t="shared" si="45"/>
        <v>345</v>
      </c>
      <c r="AJ56" s="10">
        <f t="shared" si="5"/>
        <v>0</v>
      </c>
      <c r="AK56" s="10">
        <f t="shared" si="6"/>
        <v>0</v>
      </c>
      <c r="AL56" s="9">
        <f t="shared" si="46"/>
        <v>345</v>
      </c>
      <c r="AM56" s="10">
        <f t="shared" si="8"/>
        <v>0</v>
      </c>
      <c r="AN56" s="10">
        <f t="shared" si="9"/>
        <v>0</v>
      </c>
      <c r="AO56" s="10">
        <f t="shared" si="10"/>
        <v>0</v>
      </c>
    </row>
    <row r="57" spans="1:41">
      <c r="A57" s="3">
        <v>10045</v>
      </c>
      <c r="B57" s="2" t="s">
        <v>126</v>
      </c>
      <c r="C57" s="3" t="s">
        <v>46</v>
      </c>
      <c r="D57" s="3" t="s">
        <v>46</v>
      </c>
      <c r="E57" s="3" t="s">
        <v>46</v>
      </c>
      <c r="F57" s="3"/>
      <c r="G57" s="3" t="s">
        <v>75</v>
      </c>
      <c r="H57" s="3"/>
      <c r="I57" s="3" t="s">
        <v>48</v>
      </c>
      <c r="J57" s="3" t="s">
        <v>49</v>
      </c>
      <c r="K57" s="4"/>
      <c r="L57" s="3" t="s">
        <v>55</v>
      </c>
      <c r="M57" s="4">
        <v>8000</v>
      </c>
      <c r="N57" s="2">
        <v>72</v>
      </c>
      <c r="O57" s="5" t="s">
        <v>55</v>
      </c>
      <c r="P57" s="25">
        <v>20.16</v>
      </c>
      <c r="Q57" s="26">
        <f t="shared" si="0"/>
        <v>635.04</v>
      </c>
      <c r="R57" s="27">
        <v>1.5</v>
      </c>
      <c r="S57" s="2"/>
      <c r="T57" s="2">
        <v>153</v>
      </c>
      <c r="U57" s="2"/>
      <c r="V57" s="10">
        <v>87458</v>
      </c>
      <c r="W57" s="10">
        <v>78564</v>
      </c>
      <c r="X57" s="10">
        <v>93</v>
      </c>
      <c r="Y57" s="10">
        <v>84</v>
      </c>
      <c r="Z57" s="2">
        <f t="shared" ref="Z57:AC57" si="67">_xlfn.RANK.EQ(V57,V$4:V$200)</f>
        <v>50</v>
      </c>
      <c r="AA57" s="2">
        <f t="shared" si="67"/>
        <v>68</v>
      </c>
      <c r="AB57" s="2">
        <f t="shared" si="67"/>
        <v>30</v>
      </c>
      <c r="AC57" s="2">
        <f t="shared" si="67"/>
        <v>43</v>
      </c>
      <c r="AD57" s="10">
        <f t="shared" si="2"/>
        <v>88.5</v>
      </c>
      <c r="AE57" s="2">
        <v>323</v>
      </c>
      <c r="AF57" s="10">
        <f t="shared" si="3"/>
        <v>84</v>
      </c>
      <c r="AG57" s="2"/>
      <c r="AH57" s="2">
        <v>144</v>
      </c>
      <c r="AI57" s="9">
        <f t="shared" si="45"/>
        <v>285.75</v>
      </c>
      <c r="AJ57" s="10">
        <f t="shared" si="5"/>
        <v>0</v>
      </c>
      <c r="AK57" s="10">
        <f t="shared" si="6"/>
        <v>0</v>
      </c>
      <c r="AL57" s="9">
        <f t="shared" si="46"/>
        <v>285.75</v>
      </c>
      <c r="AM57" s="10">
        <f t="shared" si="8"/>
        <v>0</v>
      </c>
      <c r="AN57" s="10">
        <f t="shared" si="9"/>
        <v>0</v>
      </c>
      <c r="AO57" s="10">
        <f t="shared" si="10"/>
        <v>0</v>
      </c>
    </row>
    <row r="58" spans="1:41">
      <c r="A58" s="3">
        <v>10047</v>
      </c>
      <c r="B58" s="2" t="s">
        <v>127</v>
      </c>
      <c r="C58" s="3" t="s">
        <v>46</v>
      </c>
      <c r="D58" s="3" t="s">
        <v>46</v>
      </c>
      <c r="E58" s="3" t="s">
        <v>46</v>
      </c>
      <c r="F58" s="3"/>
      <c r="G58" s="3" t="s">
        <v>75</v>
      </c>
      <c r="H58" s="3"/>
      <c r="I58" s="3" t="s">
        <v>48</v>
      </c>
      <c r="J58" s="3" t="s">
        <v>49</v>
      </c>
      <c r="K58" s="4"/>
      <c r="L58" s="3" t="s">
        <v>55</v>
      </c>
      <c r="M58" s="4">
        <v>8000</v>
      </c>
      <c r="N58" s="2">
        <v>72</v>
      </c>
      <c r="O58" s="5" t="s">
        <v>55</v>
      </c>
      <c r="P58" s="25">
        <v>15.84</v>
      </c>
      <c r="Q58" s="26">
        <f t="shared" si="0"/>
        <v>498.96</v>
      </c>
      <c r="R58" s="27">
        <v>1.5</v>
      </c>
      <c r="S58" s="2"/>
      <c r="T58" s="2">
        <v>102</v>
      </c>
      <c r="U58" s="2"/>
      <c r="V58" s="10">
        <v>54274</v>
      </c>
      <c r="W58" s="10">
        <v>43918</v>
      </c>
      <c r="X58" s="10">
        <v>73</v>
      </c>
      <c r="Y58" s="10">
        <v>59</v>
      </c>
      <c r="Z58" s="2">
        <f t="shared" ref="Z58:AC58" si="68">_xlfn.RANK.EQ(V58,V$4:V$200)</f>
        <v>84</v>
      </c>
      <c r="AA58" s="2">
        <f t="shared" si="68"/>
        <v>116</v>
      </c>
      <c r="AB58" s="2">
        <f t="shared" si="68"/>
        <v>38</v>
      </c>
      <c r="AC58" s="2">
        <f t="shared" si="68"/>
        <v>58</v>
      </c>
      <c r="AD58" s="10">
        <f t="shared" si="2"/>
        <v>66</v>
      </c>
      <c r="AE58" s="2">
        <v>167</v>
      </c>
      <c r="AF58" s="10">
        <f t="shared" si="3"/>
        <v>59</v>
      </c>
      <c r="AG58" s="2"/>
      <c r="AH58" s="2">
        <v>144</v>
      </c>
      <c r="AI58" s="9">
        <f t="shared" si="45"/>
        <v>201</v>
      </c>
      <c r="AJ58" s="10">
        <f t="shared" si="5"/>
        <v>0</v>
      </c>
      <c r="AK58" s="10">
        <f t="shared" si="6"/>
        <v>0</v>
      </c>
      <c r="AL58" s="9">
        <f t="shared" si="46"/>
        <v>201</v>
      </c>
      <c r="AM58" s="10">
        <f t="shared" si="8"/>
        <v>0</v>
      </c>
      <c r="AN58" s="10">
        <f t="shared" si="9"/>
        <v>0</v>
      </c>
      <c r="AO58" s="10">
        <f t="shared" si="10"/>
        <v>0</v>
      </c>
    </row>
    <row r="59" spans="1:41" ht="15.75" customHeight="1">
      <c r="A59" s="3">
        <v>10042</v>
      </c>
      <c r="B59" s="2" t="s">
        <v>128</v>
      </c>
      <c r="C59" s="3" t="s">
        <v>46</v>
      </c>
      <c r="D59" s="3" t="s">
        <v>46</v>
      </c>
      <c r="E59" s="3" t="s">
        <v>46</v>
      </c>
      <c r="F59" s="3"/>
      <c r="G59" s="3" t="s">
        <v>75</v>
      </c>
      <c r="H59" s="3" t="s">
        <v>110</v>
      </c>
      <c r="I59" s="3" t="s">
        <v>48</v>
      </c>
      <c r="J59" s="3" t="s">
        <v>49</v>
      </c>
      <c r="K59" s="4"/>
      <c r="L59" s="29" t="s">
        <v>55</v>
      </c>
      <c r="M59" s="30">
        <v>6000</v>
      </c>
      <c r="N59" s="2">
        <v>56</v>
      </c>
      <c r="O59" s="5" t="s">
        <v>55</v>
      </c>
      <c r="P59" s="25">
        <v>18.72</v>
      </c>
      <c r="Q59" s="26">
        <f t="shared" si="0"/>
        <v>589.67999999999995</v>
      </c>
      <c r="R59" s="27">
        <v>1.5</v>
      </c>
      <c r="S59" s="2"/>
      <c r="T59" s="2">
        <v>51</v>
      </c>
      <c r="U59" s="2"/>
      <c r="V59" s="10">
        <v>90416</v>
      </c>
      <c r="W59" s="10">
        <v>77325</v>
      </c>
      <c r="X59" s="10">
        <v>96</v>
      </c>
      <c r="Y59" s="10">
        <v>82</v>
      </c>
      <c r="Z59" s="2">
        <f t="shared" ref="Z59:AC59" si="69">_xlfn.RANK.EQ(V59,V$4:V$200)</f>
        <v>48</v>
      </c>
      <c r="AA59" s="2">
        <f t="shared" si="69"/>
        <v>69</v>
      </c>
      <c r="AB59" s="2">
        <f t="shared" si="69"/>
        <v>28</v>
      </c>
      <c r="AC59" s="2">
        <f t="shared" si="69"/>
        <v>44</v>
      </c>
      <c r="AD59" s="10">
        <f t="shared" si="2"/>
        <v>89</v>
      </c>
      <c r="AE59" s="2">
        <v>150</v>
      </c>
      <c r="AF59" s="10">
        <f t="shared" si="3"/>
        <v>82</v>
      </c>
      <c r="AG59" s="2"/>
      <c r="AH59" s="2">
        <v>180</v>
      </c>
      <c r="AI59" s="9">
        <f t="shared" si="45"/>
        <v>184.5</v>
      </c>
      <c r="AJ59" s="10">
        <f t="shared" si="5"/>
        <v>0</v>
      </c>
      <c r="AK59" s="10">
        <f t="shared" si="6"/>
        <v>0</v>
      </c>
      <c r="AL59" s="9">
        <f t="shared" si="46"/>
        <v>184.5</v>
      </c>
      <c r="AM59" s="10">
        <f t="shared" si="8"/>
        <v>0</v>
      </c>
      <c r="AN59" s="10">
        <f t="shared" si="9"/>
        <v>0</v>
      </c>
      <c r="AO59" s="10">
        <f t="shared" si="10"/>
        <v>0</v>
      </c>
    </row>
    <row r="60" spans="1:41">
      <c r="A60" s="3">
        <v>10336</v>
      </c>
      <c r="B60" s="2" t="s">
        <v>129</v>
      </c>
      <c r="C60" s="3" t="s">
        <v>46</v>
      </c>
      <c r="D60" s="3" t="s">
        <v>46</v>
      </c>
      <c r="E60" s="3" t="s">
        <v>46</v>
      </c>
      <c r="F60" s="3"/>
      <c r="G60" s="3" t="s">
        <v>130</v>
      </c>
      <c r="H60" s="3"/>
      <c r="I60" s="3" t="s">
        <v>119</v>
      </c>
      <c r="J60" s="3" t="s">
        <v>49</v>
      </c>
      <c r="K60" s="4"/>
      <c r="L60" s="3"/>
      <c r="M60" s="4"/>
      <c r="N60" s="2">
        <v>5</v>
      </c>
      <c r="O60" s="5" t="s">
        <v>55</v>
      </c>
      <c r="P60" s="25">
        <v>13.5</v>
      </c>
      <c r="Q60" s="26">
        <f t="shared" si="0"/>
        <v>425.25</v>
      </c>
      <c r="R60" s="27">
        <v>1.5</v>
      </c>
      <c r="S60" s="2"/>
      <c r="T60" s="2">
        <v>51</v>
      </c>
      <c r="U60" s="2"/>
      <c r="V60" s="10">
        <v>51077</v>
      </c>
      <c r="W60" s="10">
        <v>53398</v>
      </c>
      <c r="X60" s="10">
        <v>69</v>
      </c>
      <c r="Y60" s="10">
        <v>72</v>
      </c>
      <c r="Z60" s="2">
        <f t="shared" ref="Z60:AC60" si="70">_xlfn.RANK.EQ(V60,V$4:V$200)</f>
        <v>91</v>
      </c>
      <c r="AA60" s="2">
        <f t="shared" si="70"/>
        <v>99</v>
      </c>
      <c r="AB60" s="2">
        <f t="shared" si="70"/>
        <v>46</v>
      </c>
      <c r="AC60" s="2">
        <f t="shared" si="70"/>
        <v>49</v>
      </c>
      <c r="AD60" s="10">
        <f t="shared" si="2"/>
        <v>70.5</v>
      </c>
      <c r="AE60" s="2">
        <v>200</v>
      </c>
      <c r="AF60" s="10">
        <f t="shared" si="3"/>
        <v>72</v>
      </c>
      <c r="AG60" s="2"/>
      <c r="AH60" s="2"/>
      <c r="AI60" s="9">
        <f t="shared" si="45"/>
        <v>159</v>
      </c>
      <c r="AJ60" s="10">
        <f t="shared" si="5"/>
        <v>35</v>
      </c>
      <c r="AK60" s="10">
        <f t="shared" si="6"/>
        <v>14883.75</v>
      </c>
      <c r="AL60" s="9">
        <f t="shared" si="46"/>
        <v>159</v>
      </c>
      <c r="AM60" s="10">
        <f t="shared" si="8"/>
        <v>35</v>
      </c>
      <c r="AN60" s="10">
        <f t="shared" si="9"/>
        <v>14883.75</v>
      </c>
      <c r="AO60" s="10">
        <f t="shared" si="10"/>
        <v>0</v>
      </c>
    </row>
    <row r="61" spans="1:41">
      <c r="A61" s="3">
        <v>10067</v>
      </c>
      <c r="B61" s="2" t="s">
        <v>131</v>
      </c>
      <c r="C61" s="3" t="s">
        <v>46</v>
      </c>
      <c r="D61" s="3" t="s">
        <v>46</v>
      </c>
      <c r="E61" s="3" t="s">
        <v>60</v>
      </c>
      <c r="F61" s="3" t="s">
        <v>61</v>
      </c>
      <c r="G61" s="3" t="s">
        <v>130</v>
      </c>
      <c r="H61" s="3"/>
      <c r="I61" s="3" t="s">
        <v>119</v>
      </c>
      <c r="J61" s="3" t="s">
        <v>49</v>
      </c>
      <c r="K61" s="4"/>
      <c r="L61" s="3"/>
      <c r="M61" s="4"/>
      <c r="N61" s="2">
        <v>5</v>
      </c>
      <c r="O61" s="5" t="s">
        <v>55</v>
      </c>
      <c r="P61" s="25">
        <v>40.049999999999997</v>
      </c>
      <c r="Q61" s="26">
        <f t="shared" si="0"/>
        <v>1261.5749999999998</v>
      </c>
      <c r="R61" s="27">
        <v>1.5</v>
      </c>
      <c r="S61" s="2"/>
      <c r="T61" s="2">
        <v>51</v>
      </c>
      <c r="U61" s="2"/>
      <c r="V61" s="10">
        <v>8512</v>
      </c>
      <c r="W61" s="10">
        <v>17024</v>
      </c>
      <c r="X61" s="10">
        <v>4</v>
      </c>
      <c r="Y61" s="10">
        <v>8</v>
      </c>
      <c r="Z61" s="2">
        <f t="shared" ref="Z61:AC61" si="71">_xlfn.RANK.EQ(V61,V$4:V$200)</f>
        <v>161</v>
      </c>
      <c r="AA61" s="2">
        <f t="shared" si="71"/>
        <v>168</v>
      </c>
      <c r="AB61" s="2">
        <f t="shared" si="71"/>
        <v>167</v>
      </c>
      <c r="AC61" s="2">
        <f t="shared" si="71"/>
        <v>182</v>
      </c>
      <c r="AD61" s="10">
        <f t="shared" si="2"/>
        <v>6</v>
      </c>
      <c r="AE61" s="2">
        <v>98</v>
      </c>
      <c r="AF61" s="10">
        <f t="shared" si="3"/>
        <v>8</v>
      </c>
      <c r="AG61" s="2"/>
      <c r="AH61" s="2"/>
      <c r="AI61" s="9">
        <f t="shared" si="45"/>
        <v>63</v>
      </c>
      <c r="AJ61" s="10">
        <f t="shared" si="5"/>
        <v>0</v>
      </c>
      <c r="AK61" s="10">
        <f t="shared" si="6"/>
        <v>0</v>
      </c>
      <c r="AL61" s="9">
        <f t="shared" si="46"/>
        <v>63</v>
      </c>
      <c r="AM61" s="10">
        <f t="shared" si="8"/>
        <v>0</v>
      </c>
      <c r="AN61" s="10">
        <f t="shared" si="9"/>
        <v>0</v>
      </c>
      <c r="AO61" s="10">
        <f t="shared" si="10"/>
        <v>0</v>
      </c>
    </row>
    <row r="62" spans="1:41">
      <c r="A62" s="3">
        <v>10069</v>
      </c>
      <c r="B62" s="2" t="s">
        <v>132</v>
      </c>
      <c r="C62" s="3" t="s">
        <v>46</v>
      </c>
      <c r="D62" s="3" t="s">
        <v>46</v>
      </c>
      <c r="E62" s="3" t="s">
        <v>60</v>
      </c>
      <c r="F62" s="3" t="s">
        <v>61</v>
      </c>
      <c r="G62" s="3" t="s">
        <v>130</v>
      </c>
      <c r="H62" s="3"/>
      <c r="I62" s="3" t="s">
        <v>119</v>
      </c>
      <c r="J62" s="3" t="s">
        <v>49</v>
      </c>
      <c r="K62" s="4"/>
      <c r="L62" s="3"/>
      <c r="M62" s="4"/>
      <c r="N62" s="2">
        <v>5</v>
      </c>
      <c r="O62" s="5" t="s">
        <v>55</v>
      </c>
      <c r="P62" s="25">
        <v>12.15</v>
      </c>
      <c r="Q62" s="26">
        <f t="shared" si="0"/>
        <v>382.72500000000002</v>
      </c>
      <c r="R62" s="27">
        <v>1.5</v>
      </c>
      <c r="S62" s="2"/>
      <c r="T62" s="2">
        <v>51</v>
      </c>
      <c r="U62" s="2"/>
      <c r="V62" s="10">
        <v>21259</v>
      </c>
      <c r="W62" s="10">
        <v>30482</v>
      </c>
      <c r="X62" s="10">
        <v>32</v>
      </c>
      <c r="Y62" s="10">
        <v>46</v>
      </c>
      <c r="Z62" s="2">
        <f t="shared" ref="Z62:AC62" si="72">_xlfn.RANK.EQ(V62,V$4:V$200)</f>
        <v>140</v>
      </c>
      <c r="AA62" s="2">
        <f t="shared" si="72"/>
        <v>138</v>
      </c>
      <c r="AB62" s="2">
        <f t="shared" si="72"/>
        <v>95</v>
      </c>
      <c r="AC62" s="2">
        <f t="shared" si="72"/>
        <v>81</v>
      </c>
      <c r="AD62" s="10">
        <f t="shared" si="2"/>
        <v>39</v>
      </c>
      <c r="AE62" s="2">
        <v>106</v>
      </c>
      <c r="AF62" s="10">
        <f t="shared" si="3"/>
        <v>46</v>
      </c>
      <c r="AG62" s="2"/>
      <c r="AH62" s="2"/>
      <c r="AI62" s="9">
        <f t="shared" si="45"/>
        <v>120</v>
      </c>
      <c r="AJ62" s="10">
        <f t="shared" si="5"/>
        <v>0</v>
      </c>
      <c r="AK62" s="10">
        <f t="shared" si="6"/>
        <v>0</v>
      </c>
      <c r="AL62" s="9">
        <f t="shared" si="46"/>
        <v>120</v>
      </c>
      <c r="AM62" s="10">
        <f t="shared" si="8"/>
        <v>0</v>
      </c>
      <c r="AN62" s="10">
        <f t="shared" si="9"/>
        <v>0</v>
      </c>
      <c r="AO62" s="10">
        <f t="shared" si="10"/>
        <v>0</v>
      </c>
    </row>
    <row r="63" spans="1:41">
      <c r="A63" s="3">
        <v>10291</v>
      </c>
      <c r="B63" s="2" t="s">
        <v>133</v>
      </c>
      <c r="C63" s="3" t="s">
        <v>46</v>
      </c>
      <c r="D63" s="3" t="s">
        <v>46</v>
      </c>
      <c r="E63" s="3" t="s">
        <v>60</v>
      </c>
      <c r="F63" s="3" t="s">
        <v>61</v>
      </c>
      <c r="G63" s="3" t="s">
        <v>75</v>
      </c>
      <c r="H63" s="3"/>
      <c r="I63" s="3" t="s">
        <v>48</v>
      </c>
      <c r="J63" s="3" t="s">
        <v>49</v>
      </c>
      <c r="K63" s="4"/>
      <c r="L63" s="3" t="s">
        <v>55</v>
      </c>
      <c r="M63" s="4">
        <v>3000</v>
      </c>
      <c r="N63" s="2">
        <v>6</v>
      </c>
      <c r="O63" s="5" t="s">
        <v>55</v>
      </c>
      <c r="P63" s="25">
        <v>22.56</v>
      </c>
      <c r="Q63" s="26">
        <f t="shared" si="0"/>
        <v>710.64</v>
      </c>
      <c r="R63" s="27">
        <v>1.5</v>
      </c>
      <c r="S63" s="2"/>
      <c r="T63" s="2">
        <v>51</v>
      </c>
      <c r="U63" s="2"/>
      <c r="V63" s="10">
        <v>7128</v>
      </c>
      <c r="W63" s="10">
        <v>10530</v>
      </c>
      <c r="X63" s="10">
        <v>6</v>
      </c>
      <c r="Y63" s="10">
        <v>9</v>
      </c>
      <c r="Z63" s="2">
        <f t="shared" ref="Z63:AC63" si="73">_xlfn.RANK.EQ(V63,V$4:V$200)</f>
        <v>163</v>
      </c>
      <c r="AA63" s="2">
        <f t="shared" si="73"/>
        <v>184</v>
      </c>
      <c r="AB63" s="2">
        <f t="shared" si="73"/>
        <v>161</v>
      </c>
      <c r="AC63" s="2">
        <f t="shared" si="73"/>
        <v>177</v>
      </c>
      <c r="AD63" s="10">
        <f t="shared" si="2"/>
        <v>7.5</v>
      </c>
      <c r="AE63" s="2">
        <v>101</v>
      </c>
      <c r="AF63" s="10">
        <f t="shared" si="3"/>
        <v>9</v>
      </c>
      <c r="AG63" s="2"/>
      <c r="AH63" s="2"/>
      <c r="AI63" s="9">
        <f t="shared" si="45"/>
        <v>64.5</v>
      </c>
      <c r="AJ63" s="10">
        <f t="shared" si="5"/>
        <v>0</v>
      </c>
      <c r="AK63" s="10">
        <f t="shared" si="6"/>
        <v>0</v>
      </c>
      <c r="AL63" s="9">
        <f t="shared" si="46"/>
        <v>64.5</v>
      </c>
      <c r="AM63" s="10">
        <f t="shared" si="8"/>
        <v>0</v>
      </c>
      <c r="AN63" s="10">
        <f t="shared" si="9"/>
        <v>0</v>
      </c>
      <c r="AO63" s="10">
        <f t="shared" si="10"/>
        <v>0</v>
      </c>
    </row>
    <row r="64" spans="1:41">
      <c r="A64" s="3">
        <v>10392</v>
      </c>
      <c r="B64" s="2" t="s">
        <v>134</v>
      </c>
      <c r="C64" s="3"/>
      <c r="D64" s="3" t="s">
        <v>46</v>
      </c>
      <c r="E64" s="3" t="s">
        <v>46</v>
      </c>
      <c r="F64" s="3"/>
      <c r="G64" s="3" t="s">
        <v>135</v>
      </c>
      <c r="H64" s="3"/>
      <c r="I64" s="3" t="s">
        <v>54</v>
      </c>
      <c r="J64" s="3" t="s">
        <v>49</v>
      </c>
      <c r="K64" s="4"/>
      <c r="L64" s="3"/>
      <c r="M64" s="4"/>
      <c r="N64" s="2">
        <v>5</v>
      </c>
      <c r="O64" s="5" t="s">
        <v>50</v>
      </c>
      <c r="P64" s="25">
        <v>700</v>
      </c>
      <c r="Q64" s="26">
        <f t="shared" si="0"/>
        <v>700</v>
      </c>
      <c r="R64" s="27">
        <v>1.5</v>
      </c>
      <c r="S64" s="2"/>
      <c r="T64" s="2">
        <v>51</v>
      </c>
      <c r="U64" s="2"/>
      <c r="V64" s="10">
        <v>30780</v>
      </c>
      <c r="W64" s="10">
        <v>22701</v>
      </c>
      <c r="X64" s="10">
        <v>30</v>
      </c>
      <c r="Y64" s="10">
        <v>22</v>
      </c>
      <c r="Z64" s="2">
        <f t="shared" ref="Z64:AC64" si="74">_xlfn.RANK.EQ(V64,V$4:V$200)</f>
        <v>120</v>
      </c>
      <c r="AA64" s="2">
        <f t="shared" si="74"/>
        <v>158</v>
      </c>
      <c r="AB64" s="2">
        <f t="shared" si="74"/>
        <v>97</v>
      </c>
      <c r="AC64" s="2">
        <f t="shared" si="74"/>
        <v>124</v>
      </c>
      <c r="AD64" s="10">
        <f t="shared" si="2"/>
        <v>26</v>
      </c>
      <c r="AE64" s="2">
        <v>135</v>
      </c>
      <c r="AF64" s="10">
        <f t="shared" si="3"/>
        <v>22</v>
      </c>
      <c r="AG64" s="2"/>
      <c r="AH64" s="2"/>
      <c r="AI64" s="9">
        <f t="shared" si="45"/>
        <v>90</v>
      </c>
      <c r="AJ64" s="10">
        <f t="shared" si="5"/>
        <v>0</v>
      </c>
      <c r="AK64" s="10">
        <f t="shared" si="6"/>
        <v>0</v>
      </c>
      <c r="AL64" s="9">
        <f t="shared" si="46"/>
        <v>90</v>
      </c>
      <c r="AM64" s="10">
        <f t="shared" si="8"/>
        <v>0</v>
      </c>
      <c r="AN64" s="10">
        <f t="shared" si="9"/>
        <v>0</v>
      </c>
      <c r="AO64" s="10">
        <f t="shared" si="10"/>
        <v>0</v>
      </c>
    </row>
    <row r="65" spans="1:41">
      <c r="A65" s="3">
        <v>10391</v>
      </c>
      <c r="B65" s="2" t="s">
        <v>136</v>
      </c>
      <c r="C65" s="3"/>
      <c r="D65" s="3" t="s">
        <v>46</v>
      </c>
      <c r="E65" s="3" t="s">
        <v>46</v>
      </c>
      <c r="F65" s="3"/>
      <c r="G65" s="3" t="s">
        <v>135</v>
      </c>
      <c r="H65" s="3"/>
      <c r="I65" s="3" t="s">
        <v>54</v>
      </c>
      <c r="J65" s="3" t="s">
        <v>49</v>
      </c>
      <c r="K65" s="4"/>
      <c r="L65" s="3"/>
      <c r="M65" s="4"/>
      <c r="N65" s="2">
        <v>5</v>
      </c>
      <c r="O65" s="5" t="s">
        <v>50</v>
      </c>
      <c r="P65" s="25">
        <v>360</v>
      </c>
      <c r="Q65" s="26">
        <f t="shared" si="0"/>
        <v>360</v>
      </c>
      <c r="R65" s="27">
        <v>1.5</v>
      </c>
      <c r="S65" s="2"/>
      <c r="T65" s="2">
        <v>102</v>
      </c>
      <c r="U65" s="2"/>
      <c r="V65" s="10">
        <v>53831</v>
      </c>
      <c r="W65" s="10">
        <v>53059</v>
      </c>
      <c r="X65" s="10">
        <v>102</v>
      </c>
      <c r="Y65" s="10">
        <v>101</v>
      </c>
      <c r="Z65" s="2">
        <f t="shared" ref="Z65:AC65" si="75">_xlfn.RANK.EQ(V65,V$4:V$200)</f>
        <v>85</v>
      </c>
      <c r="AA65" s="2">
        <f t="shared" si="75"/>
        <v>100</v>
      </c>
      <c r="AB65" s="2">
        <f t="shared" si="75"/>
        <v>26</v>
      </c>
      <c r="AC65" s="2">
        <f t="shared" si="75"/>
        <v>33</v>
      </c>
      <c r="AD65" s="10">
        <f t="shared" si="2"/>
        <v>101.5</v>
      </c>
      <c r="AE65" s="2">
        <v>85</v>
      </c>
      <c r="AF65" s="10">
        <f t="shared" si="3"/>
        <v>101</v>
      </c>
      <c r="AG65" s="2">
        <v>456</v>
      </c>
      <c r="AH65" s="2"/>
      <c r="AI65" s="9">
        <f t="shared" si="45"/>
        <v>254.25</v>
      </c>
      <c r="AJ65" s="10">
        <f t="shared" si="5"/>
        <v>0</v>
      </c>
      <c r="AK65" s="10">
        <f t="shared" si="6"/>
        <v>0</v>
      </c>
      <c r="AL65" s="9">
        <f t="shared" si="46"/>
        <v>254.25</v>
      </c>
      <c r="AM65" s="10">
        <f t="shared" si="8"/>
        <v>0</v>
      </c>
      <c r="AN65" s="10">
        <f t="shared" si="9"/>
        <v>0</v>
      </c>
      <c r="AO65" s="10">
        <f t="shared" si="10"/>
        <v>0</v>
      </c>
    </row>
    <row r="66" spans="1:41">
      <c r="A66" s="3">
        <v>10404</v>
      </c>
      <c r="B66" s="2" t="s">
        <v>137</v>
      </c>
      <c r="C66" s="3" t="s">
        <v>46</v>
      </c>
      <c r="D66" s="3" t="s">
        <v>46</v>
      </c>
      <c r="E66" s="3" t="s">
        <v>46</v>
      </c>
      <c r="F66" s="3"/>
      <c r="G66" s="3" t="s">
        <v>138</v>
      </c>
      <c r="H66" s="3"/>
      <c r="I66" s="3" t="s">
        <v>119</v>
      </c>
      <c r="J66" s="3" t="s">
        <v>49</v>
      </c>
      <c r="K66" s="4"/>
      <c r="L66" s="3" t="s">
        <v>55</v>
      </c>
      <c r="M66" s="4">
        <v>5000</v>
      </c>
      <c r="N66" s="2">
        <v>48</v>
      </c>
      <c r="O66" s="5" t="s">
        <v>55</v>
      </c>
      <c r="P66" s="25">
        <v>14.4</v>
      </c>
      <c r="Q66" s="26">
        <f t="shared" si="0"/>
        <v>453.6</v>
      </c>
      <c r="R66" s="27">
        <v>1.5</v>
      </c>
      <c r="S66" s="2"/>
      <c r="T66" s="2">
        <v>102</v>
      </c>
      <c r="U66" s="2"/>
      <c r="V66" s="10">
        <v>33695</v>
      </c>
      <c r="W66" s="10">
        <v>54998</v>
      </c>
      <c r="X66" s="10">
        <v>39</v>
      </c>
      <c r="Y66" s="10">
        <v>64</v>
      </c>
      <c r="Z66" s="2">
        <f t="shared" ref="Z66:AC66" si="76">_xlfn.RANK.EQ(V66,V$4:V$200)</f>
        <v>113</v>
      </c>
      <c r="AA66" s="2">
        <f t="shared" si="76"/>
        <v>97</v>
      </c>
      <c r="AB66" s="2">
        <f t="shared" si="76"/>
        <v>78</v>
      </c>
      <c r="AC66" s="2">
        <f t="shared" si="76"/>
        <v>52</v>
      </c>
      <c r="AD66" s="10">
        <f t="shared" si="2"/>
        <v>51.5</v>
      </c>
      <c r="AE66" s="2">
        <v>188</v>
      </c>
      <c r="AF66" s="10">
        <f t="shared" si="3"/>
        <v>64</v>
      </c>
      <c r="AG66" s="2"/>
      <c r="AH66" s="2">
        <v>96</v>
      </c>
      <c r="AI66" s="9">
        <f t="shared" si="45"/>
        <v>198</v>
      </c>
      <c r="AJ66" s="10">
        <f t="shared" si="5"/>
        <v>0</v>
      </c>
      <c r="AK66" s="10">
        <f t="shared" si="6"/>
        <v>0</v>
      </c>
      <c r="AL66" s="9">
        <f t="shared" si="46"/>
        <v>198</v>
      </c>
      <c r="AM66" s="10">
        <f t="shared" si="8"/>
        <v>0</v>
      </c>
      <c r="AN66" s="10">
        <f t="shared" si="9"/>
        <v>0</v>
      </c>
      <c r="AO66" s="10">
        <f t="shared" si="10"/>
        <v>0</v>
      </c>
    </row>
    <row r="67" spans="1:41">
      <c r="A67" s="3">
        <v>10021</v>
      </c>
      <c r="B67" s="2" t="s">
        <v>139</v>
      </c>
      <c r="C67" s="3" t="s">
        <v>46</v>
      </c>
      <c r="D67" s="3" t="s">
        <v>46</v>
      </c>
      <c r="E67" s="3" t="s">
        <v>46</v>
      </c>
      <c r="F67" s="3"/>
      <c r="G67" s="3" t="s">
        <v>138</v>
      </c>
      <c r="H67" s="3"/>
      <c r="I67" s="3" t="s">
        <v>119</v>
      </c>
      <c r="J67" s="3" t="s">
        <v>49</v>
      </c>
      <c r="K67" s="4"/>
      <c r="L67" s="3" t="s">
        <v>55</v>
      </c>
      <c r="M67" s="4">
        <v>5000</v>
      </c>
      <c r="N67" s="2">
        <v>36</v>
      </c>
      <c r="O67" s="5" t="s">
        <v>55</v>
      </c>
      <c r="P67" s="25">
        <v>14.4</v>
      </c>
      <c r="Q67" s="26">
        <f t="shared" si="0"/>
        <v>453.6</v>
      </c>
      <c r="R67" s="27">
        <v>1.5</v>
      </c>
      <c r="S67" s="2"/>
      <c r="T67" s="2">
        <v>214</v>
      </c>
      <c r="U67" s="2"/>
      <c r="V67" s="10">
        <v>152317</v>
      </c>
      <c r="W67" s="10">
        <v>194824</v>
      </c>
      <c r="X67" s="10">
        <v>177</v>
      </c>
      <c r="Y67" s="10">
        <v>226</v>
      </c>
      <c r="Z67" s="2">
        <f t="shared" ref="Z67:AC67" si="77">_xlfn.RANK.EQ(V67,V$4:V$200)</f>
        <v>16</v>
      </c>
      <c r="AA67" s="2">
        <f t="shared" si="77"/>
        <v>13</v>
      </c>
      <c r="AB67" s="2">
        <f t="shared" si="77"/>
        <v>11</v>
      </c>
      <c r="AC67" s="2">
        <f t="shared" si="77"/>
        <v>8</v>
      </c>
      <c r="AD67" s="10">
        <f t="shared" si="2"/>
        <v>201.5</v>
      </c>
      <c r="AE67" s="2">
        <v>702</v>
      </c>
      <c r="AF67" s="10">
        <f t="shared" si="3"/>
        <v>226</v>
      </c>
      <c r="AG67" s="2"/>
      <c r="AH67" s="2">
        <v>192</v>
      </c>
      <c r="AI67" s="9">
        <f t="shared" si="45"/>
        <v>553</v>
      </c>
      <c r="AJ67" s="10">
        <f t="shared" si="5"/>
        <v>0</v>
      </c>
      <c r="AK67" s="10">
        <f t="shared" si="6"/>
        <v>0</v>
      </c>
      <c r="AL67" s="9">
        <f t="shared" si="46"/>
        <v>553</v>
      </c>
      <c r="AM67" s="10">
        <f t="shared" si="8"/>
        <v>0</v>
      </c>
      <c r="AN67" s="10">
        <f t="shared" si="9"/>
        <v>0</v>
      </c>
      <c r="AO67" s="10">
        <f t="shared" si="10"/>
        <v>0</v>
      </c>
    </row>
    <row r="68" spans="1:41">
      <c r="A68" s="3">
        <v>10491</v>
      </c>
      <c r="B68" s="2" t="s">
        <v>140</v>
      </c>
      <c r="C68" s="3" t="s">
        <v>46</v>
      </c>
      <c r="D68" s="3" t="s">
        <v>46</v>
      </c>
      <c r="E68" s="3" t="s">
        <v>46</v>
      </c>
      <c r="F68" s="3" t="s">
        <v>61</v>
      </c>
      <c r="G68" s="3" t="s">
        <v>141</v>
      </c>
      <c r="H68" s="3"/>
      <c r="I68" s="3" t="s">
        <v>48</v>
      </c>
      <c r="J68" s="3" t="s">
        <v>49</v>
      </c>
      <c r="K68" s="4">
        <v>200</v>
      </c>
      <c r="L68" s="3"/>
      <c r="M68" s="4"/>
      <c r="N68" s="2">
        <v>5</v>
      </c>
      <c r="O68" s="5" t="s">
        <v>50</v>
      </c>
      <c r="P68" s="25">
        <v>588</v>
      </c>
      <c r="Q68" s="26">
        <f t="shared" si="0"/>
        <v>588</v>
      </c>
      <c r="R68" s="27">
        <v>1.5</v>
      </c>
      <c r="S68" s="2"/>
      <c r="T68" s="2">
        <v>51</v>
      </c>
      <c r="U68" s="2"/>
      <c r="V68" s="10">
        <v>31943</v>
      </c>
      <c r="W68" s="10">
        <v>32870</v>
      </c>
      <c r="X68" s="10">
        <v>35</v>
      </c>
      <c r="Y68" s="10">
        <v>36</v>
      </c>
      <c r="Z68" s="2">
        <f t="shared" ref="Z68:AC68" si="78">_xlfn.RANK.EQ(V68,V$4:V$200)</f>
        <v>117</v>
      </c>
      <c r="AA68" s="2">
        <f t="shared" si="78"/>
        <v>135</v>
      </c>
      <c r="AB68" s="2">
        <f t="shared" si="78"/>
        <v>86</v>
      </c>
      <c r="AC68" s="2">
        <f t="shared" si="78"/>
        <v>98</v>
      </c>
      <c r="AD68" s="10">
        <f t="shared" si="2"/>
        <v>35.5</v>
      </c>
      <c r="AE68" s="2">
        <v>95</v>
      </c>
      <c r="AF68" s="10">
        <f t="shared" si="3"/>
        <v>36</v>
      </c>
      <c r="AG68" s="2">
        <v>40</v>
      </c>
      <c r="AH68" s="2"/>
      <c r="AI68" s="9">
        <f t="shared" si="45"/>
        <v>105</v>
      </c>
      <c r="AJ68" s="10">
        <f t="shared" si="5"/>
        <v>0</v>
      </c>
      <c r="AK68" s="10">
        <f t="shared" si="6"/>
        <v>0</v>
      </c>
      <c r="AL68" s="9">
        <f t="shared" si="46"/>
        <v>105</v>
      </c>
      <c r="AM68" s="10">
        <f t="shared" si="8"/>
        <v>0</v>
      </c>
      <c r="AN68" s="10">
        <f t="shared" si="9"/>
        <v>0</v>
      </c>
      <c r="AO68" s="10">
        <f t="shared" si="10"/>
        <v>0</v>
      </c>
    </row>
    <row r="69" spans="1:41">
      <c r="A69" s="3">
        <v>70055</v>
      </c>
      <c r="B69" s="2" t="s">
        <v>142</v>
      </c>
      <c r="C69" s="3" t="s">
        <v>46</v>
      </c>
      <c r="D69" s="3" t="s">
        <v>46</v>
      </c>
      <c r="E69" s="3" t="s">
        <v>46</v>
      </c>
      <c r="F69" s="3"/>
      <c r="G69" s="3" t="s">
        <v>75</v>
      </c>
      <c r="H69" s="3"/>
      <c r="I69" s="3" t="s">
        <v>48</v>
      </c>
      <c r="J69" s="3" t="s">
        <v>49</v>
      </c>
      <c r="K69" s="4"/>
      <c r="L69" s="3"/>
      <c r="M69" s="4"/>
      <c r="N69" s="2">
        <v>5</v>
      </c>
      <c r="O69" s="5" t="s">
        <v>55</v>
      </c>
      <c r="P69" s="25">
        <v>16.8</v>
      </c>
      <c r="Q69" s="26">
        <f t="shared" si="0"/>
        <v>529.20000000000005</v>
      </c>
      <c r="R69" s="27">
        <v>1.5</v>
      </c>
      <c r="S69" s="2"/>
      <c r="T69" s="2">
        <v>51</v>
      </c>
      <c r="U69" s="2"/>
      <c r="V69" s="10">
        <v>12533</v>
      </c>
      <c r="W69" s="10">
        <v>26028</v>
      </c>
      <c r="X69" s="10">
        <v>15</v>
      </c>
      <c r="Y69" s="10">
        <v>31</v>
      </c>
      <c r="Z69" s="2">
        <f t="shared" ref="Z69:AC69" si="79">_xlfn.RANK.EQ(V69,V$4:V$200)</f>
        <v>157</v>
      </c>
      <c r="AA69" s="2">
        <f t="shared" si="79"/>
        <v>155</v>
      </c>
      <c r="AB69" s="2">
        <f t="shared" si="79"/>
        <v>126</v>
      </c>
      <c r="AC69" s="2">
        <f t="shared" si="79"/>
        <v>103</v>
      </c>
      <c r="AD69" s="10">
        <f t="shared" si="2"/>
        <v>23</v>
      </c>
      <c r="AE69" s="2">
        <v>180</v>
      </c>
      <c r="AF69" s="10">
        <f t="shared" si="3"/>
        <v>31</v>
      </c>
      <c r="AG69" s="2"/>
      <c r="AH69" s="2"/>
      <c r="AI69" s="9">
        <f t="shared" si="45"/>
        <v>97.5</v>
      </c>
      <c r="AJ69" s="10">
        <f t="shared" si="5"/>
        <v>0</v>
      </c>
      <c r="AK69" s="10">
        <f t="shared" si="6"/>
        <v>0</v>
      </c>
      <c r="AL69" s="9">
        <f t="shared" si="46"/>
        <v>97.5</v>
      </c>
      <c r="AM69" s="10">
        <f t="shared" si="8"/>
        <v>0</v>
      </c>
      <c r="AN69" s="10">
        <f t="shared" si="9"/>
        <v>0</v>
      </c>
      <c r="AO69" s="10">
        <f t="shared" si="10"/>
        <v>0</v>
      </c>
    </row>
    <row r="70" spans="1:41" ht="15.75" customHeight="1">
      <c r="A70" s="3">
        <v>10363</v>
      </c>
      <c r="B70" s="2" t="s">
        <v>143</v>
      </c>
      <c r="C70" s="3" t="s">
        <v>46</v>
      </c>
      <c r="D70" s="3" t="s">
        <v>46</v>
      </c>
      <c r="E70" s="3" t="s">
        <v>46</v>
      </c>
      <c r="F70" s="3"/>
      <c r="G70" s="3" t="s">
        <v>75</v>
      </c>
      <c r="H70" s="3" t="s">
        <v>110</v>
      </c>
      <c r="I70" s="3" t="s">
        <v>48</v>
      </c>
      <c r="J70" s="3" t="s">
        <v>49</v>
      </c>
      <c r="K70" s="4"/>
      <c r="L70" s="29" t="s">
        <v>55</v>
      </c>
      <c r="M70" s="30">
        <v>6000</v>
      </c>
      <c r="N70" s="2">
        <v>48</v>
      </c>
      <c r="O70" s="5" t="s">
        <v>55</v>
      </c>
      <c r="P70" s="25">
        <v>16.32</v>
      </c>
      <c r="Q70" s="26">
        <f t="shared" si="0"/>
        <v>514.08000000000004</v>
      </c>
      <c r="R70" s="27">
        <v>1.5</v>
      </c>
      <c r="S70" s="2"/>
      <c r="T70" s="2">
        <v>153</v>
      </c>
      <c r="U70" s="2"/>
      <c r="V70" s="10">
        <v>106113</v>
      </c>
      <c r="W70" s="10">
        <v>127704</v>
      </c>
      <c r="X70" s="10">
        <v>135</v>
      </c>
      <c r="Y70" s="10">
        <v>163</v>
      </c>
      <c r="Z70" s="2">
        <f t="shared" ref="Z70:AC70" si="80">_xlfn.RANK.EQ(V70,V$4:V$200)</f>
        <v>36</v>
      </c>
      <c r="AA70" s="2">
        <f t="shared" si="80"/>
        <v>35</v>
      </c>
      <c r="AB70" s="2">
        <f t="shared" si="80"/>
        <v>17</v>
      </c>
      <c r="AC70" s="2">
        <f t="shared" si="80"/>
        <v>17</v>
      </c>
      <c r="AD70" s="10">
        <f t="shared" si="2"/>
        <v>149</v>
      </c>
      <c r="AE70" s="2">
        <v>516</v>
      </c>
      <c r="AF70" s="10">
        <f t="shared" si="3"/>
        <v>163</v>
      </c>
      <c r="AG70" s="2">
        <v>336</v>
      </c>
      <c r="AH70" s="2"/>
      <c r="AI70" s="9">
        <f t="shared" si="45"/>
        <v>397.5</v>
      </c>
      <c r="AJ70" s="10">
        <f t="shared" si="5"/>
        <v>0</v>
      </c>
      <c r="AK70" s="10">
        <f t="shared" si="6"/>
        <v>0</v>
      </c>
      <c r="AL70" s="9">
        <f t="shared" si="46"/>
        <v>397.5</v>
      </c>
      <c r="AM70" s="10">
        <f t="shared" si="8"/>
        <v>0</v>
      </c>
      <c r="AN70" s="10">
        <f t="shared" si="9"/>
        <v>0</v>
      </c>
      <c r="AO70" s="10">
        <f t="shared" si="10"/>
        <v>0</v>
      </c>
    </row>
    <row r="71" spans="1:41" ht="15.75" customHeight="1">
      <c r="A71" s="3">
        <v>10364</v>
      </c>
      <c r="B71" s="2" t="s">
        <v>144</v>
      </c>
      <c r="C71" s="3" t="s">
        <v>46</v>
      </c>
      <c r="D71" s="3" t="s">
        <v>46</v>
      </c>
      <c r="E71" s="3" t="s">
        <v>60</v>
      </c>
      <c r="F71" s="3" t="s">
        <v>61</v>
      </c>
      <c r="G71" s="3" t="s">
        <v>75</v>
      </c>
      <c r="H71" s="3" t="s">
        <v>110</v>
      </c>
      <c r="I71" s="3" t="s">
        <v>48</v>
      </c>
      <c r="J71" s="3" t="s">
        <v>49</v>
      </c>
      <c r="K71" s="4"/>
      <c r="L71" s="29" t="s">
        <v>55</v>
      </c>
      <c r="M71" s="30">
        <v>6000</v>
      </c>
      <c r="N71" s="2">
        <v>48</v>
      </c>
      <c r="O71" s="5" t="s">
        <v>55</v>
      </c>
      <c r="P71" s="25">
        <v>19.2</v>
      </c>
      <c r="Q71" s="26">
        <f t="shared" si="0"/>
        <v>604.79999999999995</v>
      </c>
      <c r="R71" s="27">
        <v>1.5</v>
      </c>
      <c r="S71" s="2"/>
      <c r="T71" s="2">
        <v>51</v>
      </c>
      <c r="U71" s="2"/>
      <c r="V71" s="10">
        <v>31614</v>
      </c>
      <c r="W71" s="10">
        <v>27718</v>
      </c>
      <c r="X71" s="10">
        <v>34</v>
      </c>
      <c r="Y71" s="10">
        <v>30</v>
      </c>
      <c r="Z71" s="2">
        <f t="shared" ref="Z71:AC71" si="81">_xlfn.RANK.EQ(V71,V$4:V$200)</f>
        <v>118</v>
      </c>
      <c r="AA71" s="2">
        <f t="shared" si="81"/>
        <v>148</v>
      </c>
      <c r="AB71" s="2">
        <f t="shared" si="81"/>
        <v>89</v>
      </c>
      <c r="AC71" s="2">
        <f t="shared" si="81"/>
        <v>106</v>
      </c>
      <c r="AD71" s="10">
        <f t="shared" si="2"/>
        <v>32</v>
      </c>
      <c r="AE71" s="2">
        <v>89</v>
      </c>
      <c r="AF71" s="10">
        <f t="shared" si="3"/>
        <v>30</v>
      </c>
      <c r="AG71" s="2">
        <v>48</v>
      </c>
      <c r="AH71" s="2"/>
      <c r="AI71" s="9">
        <f t="shared" si="45"/>
        <v>99</v>
      </c>
      <c r="AJ71" s="10">
        <f t="shared" si="5"/>
        <v>0</v>
      </c>
      <c r="AK71" s="10">
        <f t="shared" si="6"/>
        <v>0</v>
      </c>
      <c r="AL71" s="9">
        <f t="shared" si="46"/>
        <v>99</v>
      </c>
      <c r="AM71" s="10">
        <f t="shared" si="8"/>
        <v>0</v>
      </c>
      <c r="AN71" s="10">
        <f t="shared" si="9"/>
        <v>0</v>
      </c>
      <c r="AO71" s="10">
        <f t="shared" si="10"/>
        <v>0</v>
      </c>
    </row>
    <row r="72" spans="1:41">
      <c r="A72" s="3">
        <v>10377</v>
      </c>
      <c r="B72" s="2" t="s">
        <v>145</v>
      </c>
      <c r="C72" s="3" t="s">
        <v>46</v>
      </c>
      <c r="D72" s="3" t="s">
        <v>46</v>
      </c>
      <c r="E72" s="3" t="s">
        <v>46</v>
      </c>
      <c r="F72" s="3"/>
      <c r="G72" s="3" t="s">
        <v>146</v>
      </c>
      <c r="H72" s="3"/>
      <c r="I72" s="3" t="s">
        <v>114</v>
      </c>
      <c r="J72" s="3" t="s">
        <v>115</v>
      </c>
      <c r="K72" s="32">
        <v>150</v>
      </c>
      <c r="L72" s="3"/>
      <c r="M72" s="4"/>
      <c r="N72" s="2">
        <v>5</v>
      </c>
      <c r="O72" s="5" t="s">
        <v>50</v>
      </c>
      <c r="P72" s="33">
        <v>1039</v>
      </c>
      <c r="Q72" s="26">
        <f t="shared" si="0"/>
        <v>1039</v>
      </c>
      <c r="R72" s="27">
        <v>1.5</v>
      </c>
      <c r="S72" s="2"/>
      <c r="T72" s="2">
        <v>102</v>
      </c>
      <c r="U72" s="2"/>
      <c r="V72" s="10">
        <v>107091</v>
      </c>
      <c r="W72" s="10">
        <v>135130</v>
      </c>
      <c r="X72" s="10">
        <v>72</v>
      </c>
      <c r="Y72" s="10">
        <v>90</v>
      </c>
      <c r="Z72" s="2">
        <f t="shared" ref="Z72:AC72" si="82">_xlfn.RANK.EQ(V72,V$4:V$200)</f>
        <v>35</v>
      </c>
      <c r="AA72" s="2">
        <f t="shared" si="82"/>
        <v>32</v>
      </c>
      <c r="AB72" s="2">
        <f t="shared" si="82"/>
        <v>40</v>
      </c>
      <c r="AC72" s="2">
        <f t="shared" si="82"/>
        <v>38</v>
      </c>
      <c r="AD72" s="10">
        <f t="shared" si="2"/>
        <v>81</v>
      </c>
      <c r="AE72" s="2">
        <v>200</v>
      </c>
      <c r="AF72" s="10">
        <f t="shared" si="3"/>
        <v>90</v>
      </c>
      <c r="AG72" s="2">
        <v>80</v>
      </c>
      <c r="AH72" s="2">
        <v>0</v>
      </c>
      <c r="AI72" s="9">
        <f t="shared" si="45"/>
        <v>237</v>
      </c>
      <c r="AJ72" s="34">
        <v>150</v>
      </c>
      <c r="AK72" s="10">
        <f t="shared" si="6"/>
        <v>155850</v>
      </c>
      <c r="AL72" s="9">
        <f t="shared" si="46"/>
        <v>237</v>
      </c>
      <c r="AM72" s="34">
        <v>150</v>
      </c>
      <c r="AN72" s="10">
        <f t="shared" si="9"/>
        <v>155850</v>
      </c>
      <c r="AO72" s="10">
        <f t="shared" si="10"/>
        <v>0</v>
      </c>
    </row>
    <row r="73" spans="1:41">
      <c r="A73" s="3">
        <v>10152</v>
      </c>
      <c r="B73" s="2" t="s">
        <v>147</v>
      </c>
      <c r="C73" s="3" t="s">
        <v>46</v>
      </c>
      <c r="D73" s="3" t="s">
        <v>46</v>
      </c>
      <c r="E73" s="3" t="s">
        <v>46</v>
      </c>
      <c r="F73" s="3"/>
      <c r="G73" s="3" t="s">
        <v>148</v>
      </c>
      <c r="H73" s="3"/>
      <c r="I73" s="3" t="s">
        <v>149</v>
      </c>
      <c r="J73" s="3" t="s">
        <v>49</v>
      </c>
      <c r="K73" s="4"/>
      <c r="L73" s="3"/>
      <c r="M73" s="4"/>
      <c r="N73" s="2">
        <v>5</v>
      </c>
      <c r="O73" s="5" t="s">
        <v>55</v>
      </c>
      <c r="P73" s="25">
        <v>47.52</v>
      </c>
      <c r="Q73" s="26">
        <f t="shared" si="0"/>
        <v>1496.88</v>
      </c>
      <c r="R73" s="27">
        <v>1.5</v>
      </c>
      <c r="S73" s="2"/>
      <c r="T73" s="2">
        <v>51</v>
      </c>
      <c r="U73" s="2"/>
      <c r="V73" s="10">
        <v>97655</v>
      </c>
      <c r="W73" s="10">
        <v>87666</v>
      </c>
      <c r="X73" s="10">
        <v>40</v>
      </c>
      <c r="Y73" s="10">
        <v>37</v>
      </c>
      <c r="Z73" s="2">
        <f t="shared" ref="Z73:AC73" si="83">_xlfn.RANK.EQ(V73,V$4:V$200)</f>
        <v>43</v>
      </c>
      <c r="AA73" s="2">
        <f t="shared" si="83"/>
        <v>57</v>
      </c>
      <c r="AB73" s="2">
        <f t="shared" si="83"/>
        <v>75</v>
      </c>
      <c r="AC73" s="2">
        <f t="shared" si="83"/>
        <v>95</v>
      </c>
      <c r="AD73" s="10">
        <f t="shared" si="2"/>
        <v>38.5</v>
      </c>
      <c r="AE73" s="2">
        <v>129</v>
      </c>
      <c r="AF73" s="10">
        <f t="shared" si="3"/>
        <v>37</v>
      </c>
      <c r="AG73" s="2">
        <v>70</v>
      </c>
      <c r="AH73" s="2"/>
      <c r="AI73" s="9">
        <f t="shared" si="45"/>
        <v>108.75</v>
      </c>
      <c r="AJ73" s="10">
        <f t="shared" ref="AJ73:AJ170" si="84">IF(F73="V",0,
   IF(N73="",
      MAX(AI73-(AE73-AF73)-AG73-AH73,0),
      CEILING(MAX(AI73-(AE73-AF73)-AG73-AH73,0),N73)
   )
)</f>
        <v>0</v>
      </c>
      <c r="AK73" s="10">
        <f t="shared" si="6"/>
        <v>0</v>
      </c>
      <c r="AL73" s="9">
        <f t="shared" si="46"/>
        <v>108.75</v>
      </c>
      <c r="AM73" s="10">
        <f t="shared" ref="AM73:AM200" si="85">IF(F73="V",0,
   IF(N73="",
      MAX(AL73-(AE73-AF73)-AG73-AH73,0),
      CEILING(MAX(AL73-(AE73-AF73)-AG73-AH73,0),N73)
   )
)</f>
        <v>0</v>
      </c>
      <c r="AN73" s="10">
        <f t="shared" si="9"/>
        <v>0</v>
      </c>
      <c r="AO73" s="10">
        <f t="shared" si="10"/>
        <v>0</v>
      </c>
    </row>
    <row r="74" spans="1:41">
      <c r="A74" s="3">
        <v>10160</v>
      </c>
      <c r="B74" s="2" t="s">
        <v>150</v>
      </c>
      <c r="C74" s="3" t="s">
        <v>46</v>
      </c>
      <c r="D74" s="3" t="s">
        <v>46</v>
      </c>
      <c r="E74" s="3" t="s">
        <v>46</v>
      </c>
      <c r="F74" s="3"/>
      <c r="G74" s="3" t="s">
        <v>148</v>
      </c>
      <c r="H74" s="3"/>
      <c r="I74" s="3" t="s">
        <v>149</v>
      </c>
      <c r="J74" s="3" t="s">
        <v>49</v>
      </c>
      <c r="K74" s="4"/>
      <c r="L74" s="3"/>
      <c r="M74" s="4"/>
      <c r="N74" s="2">
        <v>5</v>
      </c>
      <c r="O74" s="5" t="s">
        <v>55</v>
      </c>
      <c r="P74" s="25">
        <v>133.91999999999999</v>
      </c>
      <c r="Q74" s="26">
        <f t="shared" si="0"/>
        <v>4218.4799999999996</v>
      </c>
      <c r="R74" s="27">
        <v>1.5</v>
      </c>
      <c r="S74" s="2"/>
      <c r="T74" s="2">
        <v>51</v>
      </c>
      <c r="U74" s="2"/>
      <c r="V74" s="10">
        <v>119412</v>
      </c>
      <c r="W74" s="10">
        <v>113050</v>
      </c>
      <c r="X74" s="10">
        <v>18</v>
      </c>
      <c r="Y74" s="10">
        <v>17</v>
      </c>
      <c r="Z74" s="2">
        <f t="shared" ref="Z74:AC74" si="86">_xlfn.RANK.EQ(V74,V$4:V$200)</f>
        <v>27</v>
      </c>
      <c r="AA74" s="2">
        <f t="shared" si="86"/>
        <v>43</v>
      </c>
      <c r="AB74" s="2">
        <f t="shared" si="86"/>
        <v>119</v>
      </c>
      <c r="AC74" s="2">
        <f t="shared" si="86"/>
        <v>144</v>
      </c>
      <c r="AD74" s="10">
        <f t="shared" si="2"/>
        <v>17.5</v>
      </c>
      <c r="AE74" s="2">
        <v>139</v>
      </c>
      <c r="AF74" s="10">
        <f t="shared" si="3"/>
        <v>17</v>
      </c>
      <c r="AG74" s="2">
        <v>4</v>
      </c>
      <c r="AH74" s="2"/>
      <c r="AI74" s="9">
        <f t="shared" si="45"/>
        <v>77.25</v>
      </c>
      <c r="AJ74" s="10">
        <f t="shared" si="84"/>
        <v>0</v>
      </c>
      <c r="AK74" s="10">
        <f t="shared" si="6"/>
        <v>0</v>
      </c>
      <c r="AL74" s="9">
        <f t="shared" si="46"/>
        <v>77.25</v>
      </c>
      <c r="AM74" s="10">
        <f t="shared" si="85"/>
        <v>0</v>
      </c>
      <c r="AN74" s="10">
        <f t="shared" si="9"/>
        <v>0</v>
      </c>
      <c r="AO74" s="10">
        <f t="shared" si="10"/>
        <v>0</v>
      </c>
    </row>
    <row r="75" spans="1:41">
      <c r="A75" s="3">
        <v>10153</v>
      </c>
      <c r="B75" s="2" t="s">
        <v>151</v>
      </c>
      <c r="C75" s="3" t="s">
        <v>46</v>
      </c>
      <c r="D75" s="3" t="s">
        <v>46</v>
      </c>
      <c r="E75" s="3" t="s">
        <v>46</v>
      </c>
      <c r="F75" s="3"/>
      <c r="G75" s="3" t="s">
        <v>148</v>
      </c>
      <c r="H75" s="3"/>
      <c r="I75" s="3" t="s">
        <v>149</v>
      </c>
      <c r="J75" s="3" t="s">
        <v>49</v>
      </c>
      <c r="K75" s="4"/>
      <c r="L75" s="3"/>
      <c r="M75" s="4"/>
      <c r="N75" s="2">
        <v>5</v>
      </c>
      <c r="O75" s="5" t="s">
        <v>55</v>
      </c>
      <c r="P75" s="25">
        <v>33.119999999999997</v>
      </c>
      <c r="Q75" s="26">
        <f t="shared" si="0"/>
        <v>1043.28</v>
      </c>
      <c r="R75" s="27">
        <v>1.5</v>
      </c>
      <c r="S75" s="2"/>
      <c r="T75" s="2">
        <v>51</v>
      </c>
      <c r="U75" s="2"/>
      <c r="V75" s="10">
        <v>13809</v>
      </c>
      <c r="W75" s="10">
        <v>17551</v>
      </c>
      <c r="X75" s="10">
        <v>7</v>
      </c>
      <c r="Y75" s="10">
        <v>9</v>
      </c>
      <c r="Z75" s="2">
        <f t="shared" ref="Z75:AC75" si="87">_xlfn.RANK.EQ(V75,V$4:V$200)</f>
        <v>154</v>
      </c>
      <c r="AA75" s="2">
        <f t="shared" si="87"/>
        <v>167</v>
      </c>
      <c r="AB75" s="2">
        <f t="shared" si="87"/>
        <v>157</v>
      </c>
      <c r="AC75" s="2">
        <f t="shared" si="87"/>
        <v>177</v>
      </c>
      <c r="AD75" s="10">
        <f t="shared" si="2"/>
        <v>8</v>
      </c>
      <c r="AE75" s="2">
        <v>102</v>
      </c>
      <c r="AF75" s="10">
        <f t="shared" si="3"/>
        <v>9</v>
      </c>
      <c r="AG75" s="2"/>
      <c r="AH75" s="2"/>
      <c r="AI75" s="9">
        <f t="shared" si="45"/>
        <v>64.5</v>
      </c>
      <c r="AJ75" s="10">
        <f t="shared" si="84"/>
        <v>0</v>
      </c>
      <c r="AK75" s="10">
        <f t="shared" si="6"/>
        <v>0</v>
      </c>
      <c r="AL75" s="9">
        <f t="shared" si="46"/>
        <v>64.5</v>
      </c>
      <c r="AM75" s="10">
        <f t="shared" si="85"/>
        <v>0</v>
      </c>
      <c r="AN75" s="10">
        <f t="shared" si="9"/>
        <v>0</v>
      </c>
      <c r="AO75" s="10">
        <f t="shared" si="10"/>
        <v>0</v>
      </c>
    </row>
    <row r="76" spans="1:41">
      <c r="A76" s="3">
        <v>10112</v>
      </c>
      <c r="B76" s="2" t="s">
        <v>152</v>
      </c>
      <c r="C76" s="3" t="s">
        <v>46</v>
      </c>
      <c r="D76" s="3" t="s">
        <v>46</v>
      </c>
      <c r="E76" s="3" t="s">
        <v>60</v>
      </c>
      <c r="F76" s="3" t="s">
        <v>61</v>
      </c>
      <c r="G76" s="3" t="s">
        <v>106</v>
      </c>
      <c r="H76" s="3"/>
      <c r="I76" s="3" t="s">
        <v>54</v>
      </c>
      <c r="J76" s="3" t="s">
        <v>115</v>
      </c>
      <c r="K76" s="4"/>
      <c r="L76" s="3"/>
      <c r="M76" s="4"/>
      <c r="N76" s="2">
        <v>5</v>
      </c>
      <c r="O76" s="5" t="s">
        <v>50</v>
      </c>
      <c r="P76" s="25">
        <v>420</v>
      </c>
      <c r="Q76" s="26">
        <f t="shared" si="0"/>
        <v>420</v>
      </c>
      <c r="R76" s="27">
        <v>1.5</v>
      </c>
      <c r="S76" s="2"/>
      <c r="T76" s="2">
        <v>51</v>
      </c>
      <c r="U76" s="2"/>
      <c r="V76" s="10">
        <v>40039</v>
      </c>
      <c r="W76" s="10">
        <v>48850</v>
      </c>
      <c r="X76" s="10">
        <v>50</v>
      </c>
      <c r="Y76" s="10">
        <v>61</v>
      </c>
      <c r="Z76" s="2">
        <f t="shared" ref="Z76:AC76" si="88">_xlfn.RANK.EQ(V76,V$4:V$200)</f>
        <v>105</v>
      </c>
      <c r="AA76" s="2">
        <f t="shared" si="88"/>
        <v>109</v>
      </c>
      <c r="AB76" s="2">
        <f t="shared" si="88"/>
        <v>60</v>
      </c>
      <c r="AC76" s="2">
        <f t="shared" si="88"/>
        <v>56</v>
      </c>
      <c r="AD76" s="10">
        <f t="shared" si="2"/>
        <v>55.5</v>
      </c>
      <c r="AE76" s="2">
        <v>130</v>
      </c>
      <c r="AF76" s="10">
        <f t="shared" si="3"/>
        <v>61</v>
      </c>
      <c r="AG76" s="2"/>
      <c r="AH76" s="2">
        <v>0</v>
      </c>
      <c r="AI76" s="9">
        <f t="shared" si="45"/>
        <v>142.5</v>
      </c>
      <c r="AJ76" s="10">
        <f t="shared" si="84"/>
        <v>0</v>
      </c>
      <c r="AK76" s="10">
        <f t="shared" si="6"/>
        <v>0</v>
      </c>
      <c r="AL76" s="9">
        <f t="shared" si="46"/>
        <v>142.5</v>
      </c>
      <c r="AM76" s="10">
        <f t="shared" si="85"/>
        <v>0</v>
      </c>
      <c r="AN76" s="10">
        <f t="shared" si="9"/>
        <v>0</v>
      </c>
      <c r="AO76" s="10">
        <f t="shared" si="10"/>
        <v>0</v>
      </c>
    </row>
    <row r="77" spans="1:41">
      <c r="A77" s="3">
        <v>20030</v>
      </c>
      <c r="B77" s="2" t="s">
        <v>153</v>
      </c>
      <c r="C77" s="3" t="s">
        <v>46</v>
      </c>
      <c r="D77" s="3" t="s">
        <v>46</v>
      </c>
      <c r="E77" s="3" t="s">
        <v>46</v>
      </c>
      <c r="F77" s="3"/>
      <c r="G77" s="3" t="s">
        <v>52</v>
      </c>
      <c r="H77" s="3" t="s">
        <v>154</v>
      </c>
      <c r="I77" s="3" t="s">
        <v>54</v>
      </c>
      <c r="J77" s="3" t="s">
        <v>49</v>
      </c>
      <c r="K77" s="4"/>
      <c r="L77" s="3"/>
      <c r="M77" s="4"/>
      <c r="N77" s="2">
        <v>5</v>
      </c>
      <c r="O77" s="5" t="s">
        <v>55</v>
      </c>
      <c r="P77" s="25">
        <v>28.32</v>
      </c>
      <c r="Q77" s="26">
        <f t="shared" si="0"/>
        <v>892.08</v>
      </c>
      <c r="R77" s="27">
        <v>2</v>
      </c>
      <c r="S77" s="2"/>
      <c r="T77" s="2">
        <v>51</v>
      </c>
      <c r="U77" s="2"/>
      <c r="V77" s="10">
        <v>104751</v>
      </c>
      <c r="W77" s="10">
        <v>86393</v>
      </c>
      <c r="X77" s="10">
        <v>72</v>
      </c>
      <c r="Y77" s="10">
        <v>59</v>
      </c>
      <c r="Z77" s="2">
        <f t="shared" ref="Z77:AC77" si="89">_xlfn.RANK.EQ(V77,V$4:V$200)</f>
        <v>39</v>
      </c>
      <c r="AA77" s="2">
        <f t="shared" si="89"/>
        <v>60</v>
      </c>
      <c r="AB77" s="2">
        <f t="shared" si="89"/>
        <v>40</v>
      </c>
      <c r="AC77" s="2">
        <f t="shared" si="89"/>
        <v>58</v>
      </c>
      <c r="AD77" s="10">
        <f t="shared" si="2"/>
        <v>65.5</v>
      </c>
      <c r="AE77" s="2">
        <v>124</v>
      </c>
      <c r="AF77" s="10">
        <f t="shared" si="3"/>
        <v>59</v>
      </c>
      <c r="AG77" s="2"/>
      <c r="AH77" s="2">
        <v>120</v>
      </c>
      <c r="AI77" s="9">
        <f t="shared" si="45"/>
        <v>149.25</v>
      </c>
      <c r="AJ77" s="10">
        <f t="shared" si="84"/>
        <v>0</v>
      </c>
      <c r="AK77" s="10">
        <f t="shared" si="6"/>
        <v>0</v>
      </c>
      <c r="AL77" s="9">
        <f t="shared" si="46"/>
        <v>182</v>
      </c>
      <c r="AM77" s="10">
        <f t="shared" si="85"/>
        <v>0</v>
      </c>
      <c r="AN77" s="10">
        <f t="shared" si="9"/>
        <v>0</v>
      </c>
      <c r="AO77" s="10">
        <f t="shared" si="10"/>
        <v>0</v>
      </c>
    </row>
    <row r="78" spans="1:41">
      <c r="A78" s="3">
        <v>20021</v>
      </c>
      <c r="B78" s="2" t="s">
        <v>155</v>
      </c>
      <c r="C78" s="3"/>
      <c r="D78" s="3" t="s">
        <v>46</v>
      </c>
      <c r="E78" s="3" t="s">
        <v>46</v>
      </c>
      <c r="F78" s="3"/>
      <c r="G78" s="3" t="s">
        <v>52</v>
      </c>
      <c r="H78" s="3" t="s">
        <v>154</v>
      </c>
      <c r="I78" s="3" t="s">
        <v>54</v>
      </c>
      <c r="J78" s="3" t="s">
        <v>49</v>
      </c>
      <c r="K78" s="4"/>
      <c r="L78" s="3"/>
      <c r="M78" s="4"/>
      <c r="N78" s="2">
        <v>5</v>
      </c>
      <c r="O78" s="5" t="s">
        <v>55</v>
      </c>
      <c r="P78" s="25">
        <v>24</v>
      </c>
      <c r="Q78" s="26">
        <f t="shared" si="0"/>
        <v>756</v>
      </c>
      <c r="R78" s="27">
        <v>2</v>
      </c>
      <c r="S78" s="2"/>
      <c r="T78" s="2">
        <v>51</v>
      </c>
      <c r="U78" s="2"/>
      <c r="V78" s="10">
        <v>54512</v>
      </c>
      <c r="W78" s="10">
        <v>75718</v>
      </c>
      <c r="X78" s="10">
        <v>44</v>
      </c>
      <c r="Y78" s="10">
        <v>62</v>
      </c>
      <c r="Z78" s="2">
        <f t="shared" ref="Z78:AC78" si="90">_xlfn.RANK.EQ(V78,V$4:V$200)</f>
        <v>83</v>
      </c>
      <c r="AA78" s="2">
        <f t="shared" si="90"/>
        <v>73</v>
      </c>
      <c r="AB78" s="2">
        <f t="shared" si="90"/>
        <v>70</v>
      </c>
      <c r="AC78" s="2">
        <f t="shared" si="90"/>
        <v>53</v>
      </c>
      <c r="AD78" s="10">
        <f t="shared" si="2"/>
        <v>53</v>
      </c>
      <c r="AE78" s="2">
        <v>206</v>
      </c>
      <c r="AF78" s="10">
        <f t="shared" si="3"/>
        <v>62</v>
      </c>
      <c r="AG78" s="2"/>
      <c r="AH78" s="2"/>
      <c r="AI78" s="9">
        <f t="shared" si="45"/>
        <v>144</v>
      </c>
      <c r="AJ78" s="10">
        <f t="shared" si="84"/>
        <v>0</v>
      </c>
      <c r="AK78" s="10">
        <f t="shared" si="6"/>
        <v>0</v>
      </c>
      <c r="AL78" s="9">
        <f t="shared" si="46"/>
        <v>175</v>
      </c>
      <c r="AM78" s="10">
        <f t="shared" si="85"/>
        <v>35</v>
      </c>
      <c r="AN78" s="10">
        <f t="shared" si="9"/>
        <v>26460</v>
      </c>
      <c r="AO78" s="10">
        <f t="shared" si="10"/>
        <v>35</v>
      </c>
    </row>
    <row r="79" spans="1:41">
      <c r="A79" s="3">
        <v>20083</v>
      </c>
      <c r="B79" s="2" t="s">
        <v>156</v>
      </c>
      <c r="C79" s="3" t="s">
        <v>46</v>
      </c>
      <c r="D79" s="3" t="s">
        <v>46</v>
      </c>
      <c r="E79" s="3" t="s">
        <v>60</v>
      </c>
      <c r="F79" s="3" t="s">
        <v>61</v>
      </c>
      <c r="G79" s="3" t="s">
        <v>52</v>
      </c>
      <c r="H79" s="3" t="s">
        <v>157</v>
      </c>
      <c r="I79" s="3" t="s">
        <v>54</v>
      </c>
      <c r="J79" s="3" t="s">
        <v>49</v>
      </c>
      <c r="K79" s="4"/>
      <c r="L79" s="3" t="s">
        <v>55</v>
      </c>
      <c r="M79" s="4">
        <v>15000</v>
      </c>
      <c r="N79" s="2">
        <v>5</v>
      </c>
      <c r="O79" s="5" t="s">
        <v>55</v>
      </c>
      <c r="P79" s="25">
        <v>33.799999999999997</v>
      </c>
      <c r="Q79" s="26">
        <f t="shared" si="0"/>
        <v>1064.6999999999998</v>
      </c>
      <c r="R79" s="27">
        <v>2</v>
      </c>
      <c r="S79" s="2"/>
      <c r="T79" s="2">
        <v>51</v>
      </c>
      <c r="U79" s="2"/>
      <c r="V79" s="10">
        <v>7309</v>
      </c>
      <c r="W79" s="10">
        <v>29019</v>
      </c>
      <c r="X79" s="10">
        <v>3</v>
      </c>
      <c r="Y79" s="10">
        <v>12</v>
      </c>
      <c r="Z79" s="2">
        <f t="shared" ref="Z79:AC79" si="91">_xlfn.RANK.EQ(V79,V$4:V$200)</f>
        <v>162</v>
      </c>
      <c r="AA79" s="2">
        <f t="shared" si="91"/>
        <v>143</v>
      </c>
      <c r="AB79" s="2">
        <f t="shared" si="91"/>
        <v>171</v>
      </c>
      <c r="AC79" s="2">
        <f t="shared" si="91"/>
        <v>161</v>
      </c>
      <c r="AD79" s="10">
        <f t="shared" si="2"/>
        <v>7.5</v>
      </c>
      <c r="AE79" s="2">
        <v>132</v>
      </c>
      <c r="AF79" s="10">
        <f t="shared" si="3"/>
        <v>12</v>
      </c>
      <c r="AG79" s="2"/>
      <c r="AH79" s="2"/>
      <c r="AI79" s="9">
        <f t="shared" si="45"/>
        <v>69</v>
      </c>
      <c r="AJ79" s="10">
        <f t="shared" si="84"/>
        <v>0</v>
      </c>
      <c r="AK79" s="10">
        <f t="shared" si="6"/>
        <v>0</v>
      </c>
      <c r="AL79" s="9">
        <f t="shared" si="46"/>
        <v>75</v>
      </c>
      <c r="AM79" s="10">
        <f t="shared" si="85"/>
        <v>0</v>
      </c>
      <c r="AN79" s="10">
        <f t="shared" si="9"/>
        <v>0</v>
      </c>
      <c r="AO79" s="10">
        <f t="shared" si="10"/>
        <v>0</v>
      </c>
    </row>
    <row r="80" spans="1:41">
      <c r="A80" s="3">
        <v>20082</v>
      </c>
      <c r="B80" s="2" t="s">
        <v>158</v>
      </c>
      <c r="C80" s="3" t="s">
        <v>46</v>
      </c>
      <c r="D80" s="3" t="s">
        <v>46</v>
      </c>
      <c r="E80" s="3" t="s">
        <v>46</v>
      </c>
      <c r="F80" s="3"/>
      <c r="G80" s="3" t="s">
        <v>52</v>
      </c>
      <c r="H80" s="3" t="s">
        <v>157</v>
      </c>
      <c r="I80" s="3" t="s">
        <v>54</v>
      </c>
      <c r="J80" s="3" t="s">
        <v>49</v>
      </c>
      <c r="K80" s="4"/>
      <c r="L80" s="3" t="s">
        <v>55</v>
      </c>
      <c r="M80" s="4">
        <v>15000</v>
      </c>
      <c r="N80" s="2">
        <v>5</v>
      </c>
      <c r="O80" s="5" t="s">
        <v>55</v>
      </c>
      <c r="P80" s="25">
        <v>39.5</v>
      </c>
      <c r="Q80" s="26">
        <f t="shared" si="0"/>
        <v>1244.25</v>
      </c>
      <c r="R80" s="27">
        <v>2</v>
      </c>
      <c r="S80" s="2"/>
      <c r="T80" s="2">
        <v>51</v>
      </c>
      <c r="U80" s="2"/>
      <c r="V80" s="10">
        <v>61124</v>
      </c>
      <c r="W80" s="10">
        <v>51999</v>
      </c>
      <c r="X80" s="10">
        <v>22</v>
      </c>
      <c r="Y80" s="10">
        <v>19</v>
      </c>
      <c r="Z80" s="2">
        <f t="shared" ref="Z80:AC80" si="92">_xlfn.RANK.EQ(V80,V$4:V$200)</f>
        <v>71</v>
      </c>
      <c r="AA80" s="2">
        <f t="shared" si="92"/>
        <v>102</v>
      </c>
      <c r="AB80" s="2">
        <f t="shared" si="92"/>
        <v>113</v>
      </c>
      <c r="AC80" s="2">
        <f t="shared" si="92"/>
        <v>135</v>
      </c>
      <c r="AD80" s="10">
        <f t="shared" si="2"/>
        <v>20.5</v>
      </c>
      <c r="AE80" s="2">
        <v>245</v>
      </c>
      <c r="AF80" s="10">
        <f t="shared" si="3"/>
        <v>19</v>
      </c>
      <c r="AG80" s="2">
        <v>100</v>
      </c>
      <c r="AH80" s="2"/>
      <c r="AI80" s="9">
        <f t="shared" si="45"/>
        <v>81.75</v>
      </c>
      <c r="AJ80" s="10">
        <f t="shared" si="84"/>
        <v>0</v>
      </c>
      <c r="AK80" s="10">
        <f t="shared" si="6"/>
        <v>0</v>
      </c>
      <c r="AL80" s="9">
        <f t="shared" si="46"/>
        <v>92</v>
      </c>
      <c r="AM80" s="10">
        <f t="shared" si="85"/>
        <v>0</v>
      </c>
      <c r="AN80" s="10">
        <f t="shared" si="9"/>
        <v>0</v>
      </c>
      <c r="AO80" s="10">
        <f t="shared" si="10"/>
        <v>0</v>
      </c>
    </row>
    <row r="81" spans="1:41">
      <c r="A81" s="3">
        <v>20094</v>
      </c>
      <c r="B81" s="2" t="s">
        <v>159</v>
      </c>
      <c r="C81" s="3" t="s">
        <v>46</v>
      </c>
      <c r="D81" s="3" t="s">
        <v>46</v>
      </c>
      <c r="E81" s="3" t="s">
        <v>46</v>
      </c>
      <c r="F81" s="3"/>
      <c r="G81" s="3" t="s">
        <v>52</v>
      </c>
      <c r="H81" s="3" t="s">
        <v>157</v>
      </c>
      <c r="I81" s="3" t="s">
        <v>54</v>
      </c>
      <c r="J81" s="3" t="s">
        <v>49</v>
      </c>
      <c r="K81" s="4"/>
      <c r="L81" s="3" t="s">
        <v>55</v>
      </c>
      <c r="M81" s="4">
        <v>15000</v>
      </c>
      <c r="N81" s="2">
        <v>5</v>
      </c>
      <c r="O81" s="5" t="s">
        <v>55</v>
      </c>
      <c r="P81" s="25">
        <v>24.7</v>
      </c>
      <c r="Q81" s="26">
        <f t="shared" si="0"/>
        <v>778.05</v>
      </c>
      <c r="R81" s="27">
        <v>2</v>
      </c>
      <c r="S81" s="2"/>
      <c r="T81" s="2">
        <v>51</v>
      </c>
      <c r="U81" s="2"/>
      <c r="V81" s="10">
        <v>39537</v>
      </c>
      <c r="W81" s="10">
        <v>40482</v>
      </c>
      <c r="X81" s="10">
        <v>26</v>
      </c>
      <c r="Y81" s="10">
        <v>27</v>
      </c>
      <c r="Z81" s="2">
        <f t="shared" ref="Z81:AC81" si="93">_xlfn.RANK.EQ(V81,V$4:V$200)</f>
        <v>108</v>
      </c>
      <c r="AA81" s="2">
        <f t="shared" si="93"/>
        <v>120</v>
      </c>
      <c r="AB81" s="2">
        <f t="shared" si="93"/>
        <v>102</v>
      </c>
      <c r="AC81" s="2">
        <f t="shared" si="93"/>
        <v>109</v>
      </c>
      <c r="AD81" s="10">
        <f t="shared" si="2"/>
        <v>26.5</v>
      </c>
      <c r="AE81" s="2">
        <v>246</v>
      </c>
      <c r="AF81" s="10">
        <f t="shared" si="3"/>
        <v>27</v>
      </c>
      <c r="AG81" s="2"/>
      <c r="AH81" s="2"/>
      <c r="AI81" s="9">
        <f t="shared" si="45"/>
        <v>91.5</v>
      </c>
      <c r="AJ81" s="10">
        <f t="shared" si="84"/>
        <v>0</v>
      </c>
      <c r="AK81" s="10">
        <f t="shared" si="6"/>
        <v>0</v>
      </c>
      <c r="AL81" s="9">
        <f t="shared" si="46"/>
        <v>105</v>
      </c>
      <c r="AM81" s="10">
        <f t="shared" si="85"/>
        <v>0</v>
      </c>
      <c r="AN81" s="10">
        <f t="shared" si="9"/>
        <v>0</v>
      </c>
      <c r="AO81" s="10">
        <f t="shared" si="10"/>
        <v>0</v>
      </c>
    </row>
    <row r="82" spans="1:41">
      <c r="A82" s="3">
        <v>20081</v>
      </c>
      <c r="B82" s="2" t="s">
        <v>160</v>
      </c>
      <c r="C82" s="3" t="s">
        <v>46</v>
      </c>
      <c r="D82" s="3" t="s">
        <v>46</v>
      </c>
      <c r="E82" s="3" t="s">
        <v>60</v>
      </c>
      <c r="F82" s="3" t="s">
        <v>61</v>
      </c>
      <c r="G82" s="3" t="s">
        <v>130</v>
      </c>
      <c r="H82" s="3"/>
      <c r="I82" s="3" t="s">
        <v>119</v>
      </c>
      <c r="J82" s="3" t="s">
        <v>49</v>
      </c>
      <c r="K82" s="4"/>
      <c r="L82" s="3"/>
      <c r="M82" s="4"/>
      <c r="N82" s="2">
        <v>5</v>
      </c>
      <c r="O82" s="5" t="s">
        <v>55</v>
      </c>
      <c r="P82" s="25">
        <v>35.549999999999997</v>
      </c>
      <c r="Q82" s="26">
        <f t="shared" si="0"/>
        <v>1119.8249999999998</v>
      </c>
      <c r="R82" s="27">
        <v>1.5</v>
      </c>
      <c r="S82" s="2"/>
      <c r="T82" s="2">
        <v>51</v>
      </c>
      <c r="U82" s="2"/>
      <c r="V82" s="10">
        <v>30852</v>
      </c>
      <c r="W82" s="10">
        <v>28433</v>
      </c>
      <c r="X82" s="10">
        <v>16</v>
      </c>
      <c r="Y82" s="10">
        <v>15</v>
      </c>
      <c r="Z82" s="2">
        <f t="shared" ref="Z82:AC82" si="94">_xlfn.RANK.EQ(V82,V$4:V$200)</f>
        <v>119</v>
      </c>
      <c r="AA82" s="2">
        <f t="shared" si="94"/>
        <v>146</v>
      </c>
      <c r="AB82" s="2">
        <f t="shared" si="94"/>
        <v>123</v>
      </c>
      <c r="AC82" s="2">
        <f t="shared" si="94"/>
        <v>152</v>
      </c>
      <c r="AD82" s="10">
        <f t="shared" si="2"/>
        <v>15.5</v>
      </c>
      <c r="AE82" s="2">
        <v>326</v>
      </c>
      <c r="AF82" s="10">
        <f t="shared" si="3"/>
        <v>15</v>
      </c>
      <c r="AG82" s="2"/>
      <c r="AH82" s="2"/>
      <c r="AI82" s="9">
        <f t="shared" si="45"/>
        <v>74.25</v>
      </c>
      <c r="AJ82" s="10">
        <f t="shared" si="84"/>
        <v>0</v>
      </c>
      <c r="AK82" s="10">
        <f t="shared" si="6"/>
        <v>0</v>
      </c>
      <c r="AL82" s="9">
        <f t="shared" si="46"/>
        <v>74.25</v>
      </c>
      <c r="AM82" s="10">
        <f t="shared" si="85"/>
        <v>0</v>
      </c>
      <c r="AN82" s="10">
        <f t="shared" si="9"/>
        <v>0</v>
      </c>
      <c r="AO82" s="10">
        <f t="shared" si="10"/>
        <v>0</v>
      </c>
    </row>
    <row r="83" spans="1:41">
      <c r="A83" s="3">
        <v>20048</v>
      </c>
      <c r="B83" s="2" t="s">
        <v>161</v>
      </c>
      <c r="C83" s="3" t="s">
        <v>46</v>
      </c>
      <c r="D83" s="3" t="s">
        <v>46</v>
      </c>
      <c r="E83" s="3" t="s">
        <v>46</v>
      </c>
      <c r="F83" s="3"/>
      <c r="G83" s="3" t="s">
        <v>52</v>
      </c>
      <c r="H83" s="3" t="s">
        <v>87</v>
      </c>
      <c r="I83" s="3" t="s">
        <v>54</v>
      </c>
      <c r="J83" s="3" t="s">
        <v>49</v>
      </c>
      <c r="K83" s="4"/>
      <c r="L83" s="3" t="s">
        <v>55</v>
      </c>
      <c r="M83" s="4">
        <v>5000</v>
      </c>
      <c r="N83" s="2">
        <v>5</v>
      </c>
      <c r="O83" s="5" t="s">
        <v>55</v>
      </c>
      <c r="P83" s="25">
        <v>17.600000000000001</v>
      </c>
      <c r="Q83" s="26">
        <f t="shared" si="0"/>
        <v>554.40000000000009</v>
      </c>
      <c r="R83" s="27">
        <v>2</v>
      </c>
      <c r="S83" s="2"/>
      <c r="T83" s="2">
        <v>102</v>
      </c>
      <c r="U83" s="2"/>
      <c r="V83" s="10">
        <v>114240</v>
      </c>
      <c r="W83" s="10">
        <v>155714</v>
      </c>
      <c r="X83" s="10">
        <v>118</v>
      </c>
      <c r="Y83" s="10">
        <v>161</v>
      </c>
      <c r="Z83" s="2">
        <f t="shared" ref="Z83:AC83" si="95">_xlfn.RANK.EQ(V83,V$4:V$200)</f>
        <v>31</v>
      </c>
      <c r="AA83" s="2">
        <f t="shared" si="95"/>
        <v>20</v>
      </c>
      <c r="AB83" s="2">
        <f t="shared" si="95"/>
        <v>21</v>
      </c>
      <c r="AC83" s="2">
        <f t="shared" si="95"/>
        <v>18</v>
      </c>
      <c r="AD83" s="10">
        <f t="shared" si="2"/>
        <v>139.5</v>
      </c>
      <c r="AE83" s="2">
        <v>313</v>
      </c>
      <c r="AF83" s="10">
        <f t="shared" si="3"/>
        <v>161</v>
      </c>
      <c r="AG83" s="2"/>
      <c r="AH83" s="2">
        <v>120</v>
      </c>
      <c r="AI83" s="28">
        <f t="shared" ref="AI83:AI84" si="96">T83+MAX(AD83,AF83)*2.35</f>
        <v>480.35</v>
      </c>
      <c r="AJ83" s="10">
        <f t="shared" si="84"/>
        <v>210</v>
      </c>
      <c r="AK83" s="10">
        <f t="shared" si="6"/>
        <v>116424.00000000001</v>
      </c>
      <c r="AL83" s="28">
        <f>T83+MAX(AD83,AF83)*2.35</f>
        <v>480.35</v>
      </c>
      <c r="AM83" s="10">
        <f t="shared" si="85"/>
        <v>210</v>
      </c>
      <c r="AN83" s="10">
        <f t="shared" si="9"/>
        <v>116424.00000000001</v>
      </c>
      <c r="AO83" s="10">
        <f t="shared" si="10"/>
        <v>0</v>
      </c>
    </row>
    <row r="84" spans="1:41">
      <c r="A84" s="3">
        <v>20088</v>
      </c>
      <c r="B84" s="2" t="s">
        <v>162</v>
      </c>
      <c r="C84" s="3" t="s">
        <v>46</v>
      </c>
      <c r="D84" s="3" t="s">
        <v>46</v>
      </c>
      <c r="E84" s="3" t="s">
        <v>60</v>
      </c>
      <c r="F84" s="3" t="s">
        <v>61</v>
      </c>
      <c r="G84" s="3" t="s">
        <v>52</v>
      </c>
      <c r="H84" s="3" t="s">
        <v>87</v>
      </c>
      <c r="I84" s="3" t="s">
        <v>54</v>
      </c>
      <c r="J84" s="3" t="s">
        <v>49</v>
      </c>
      <c r="K84" s="4"/>
      <c r="L84" s="3" t="s">
        <v>55</v>
      </c>
      <c r="M84" s="4">
        <v>5000</v>
      </c>
      <c r="N84" s="2">
        <v>5</v>
      </c>
      <c r="O84" s="5" t="s">
        <v>55</v>
      </c>
      <c r="P84" s="25">
        <v>21.12</v>
      </c>
      <c r="Q84" s="26">
        <f t="shared" si="0"/>
        <v>665.28000000000009</v>
      </c>
      <c r="R84" s="27">
        <v>2</v>
      </c>
      <c r="S84" s="2"/>
      <c r="T84" s="2">
        <v>0</v>
      </c>
      <c r="U84" s="2"/>
      <c r="V84" s="10">
        <v>63383</v>
      </c>
      <c r="W84" s="10">
        <v>61351</v>
      </c>
      <c r="X84" s="10">
        <v>55</v>
      </c>
      <c r="Y84" s="10">
        <v>53</v>
      </c>
      <c r="Z84" s="2">
        <f t="shared" ref="Z84:AC84" si="97">_xlfn.RANK.EQ(V84,V$4:V$200)</f>
        <v>68</v>
      </c>
      <c r="AA84" s="2">
        <f t="shared" si="97"/>
        <v>90</v>
      </c>
      <c r="AB84" s="2">
        <f t="shared" si="97"/>
        <v>55</v>
      </c>
      <c r="AC84" s="2">
        <f t="shared" si="97"/>
        <v>68</v>
      </c>
      <c r="AD84" s="10">
        <f t="shared" si="2"/>
        <v>54</v>
      </c>
      <c r="AE84" s="2">
        <v>136</v>
      </c>
      <c r="AF84" s="10">
        <f t="shared" si="3"/>
        <v>53</v>
      </c>
      <c r="AG84" s="2"/>
      <c r="AH84" s="2"/>
      <c r="AI84" s="28">
        <f t="shared" si="96"/>
        <v>126.9</v>
      </c>
      <c r="AJ84" s="10">
        <f t="shared" si="84"/>
        <v>0</v>
      </c>
      <c r="AK84" s="10">
        <f t="shared" si="6"/>
        <v>0</v>
      </c>
      <c r="AL84" s="9">
        <f t="shared" ref="AL84:AL200" si="98">T84+MAX(AD84,AF84)*R84</f>
        <v>108</v>
      </c>
      <c r="AM84" s="10">
        <f t="shared" si="85"/>
        <v>0</v>
      </c>
      <c r="AN84" s="10">
        <f t="shared" si="9"/>
        <v>0</v>
      </c>
      <c r="AO84" s="10">
        <f t="shared" si="10"/>
        <v>0</v>
      </c>
    </row>
    <row r="85" spans="1:41">
      <c r="A85" s="3">
        <v>20023</v>
      </c>
      <c r="B85" s="2" t="s">
        <v>163</v>
      </c>
      <c r="C85" s="3" t="s">
        <v>46</v>
      </c>
      <c r="D85" s="3" t="s">
        <v>46</v>
      </c>
      <c r="E85" s="3" t="s">
        <v>60</v>
      </c>
      <c r="F85" s="3" t="s">
        <v>61</v>
      </c>
      <c r="G85" s="3" t="s">
        <v>62</v>
      </c>
      <c r="H85" s="3" t="s">
        <v>164</v>
      </c>
      <c r="I85" s="3" t="s">
        <v>63</v>
      </c>
      <c r="J85" s="3" t="s">
        <v>49</v>
      </c>
      <c r="K85" s="4"/>
      <c r="L85" s="3" t="s">
        <v>55</v>
      </c>
      <c r="M85" s="4">
        <v>15000</v>
      </c>
      <c r="N85" s="2">
        <v>5</v>
      </c>
      <c r="O85" s="5" t="s">
        <v>55</v>
      </c>
      <c r="P85" s="25">
        <v>31.08</v>
      </c>
      <c r="Q85" s="26">
        <f t="shared" si="0"/>
        <v>979.02</v>
      </c>
      <c r="R85" s="27">
        <v>1.5</v>
      </c>
      <c r="S85" s="2"/>
      <c r="T85" s="2">
        <v>51</v>
      </c>
      <c r="U85" s="2"/>
      <c r="V85" s="10">
        <v>27082</v>
      </c>
      <c r="W85" s="10">
        <v>14548</v>
      </c>
      <c r="X85" s="10">
        <v>15</v>
      </c>
      <c r="Y85" s="10">
        <v>8</v>
      </c>
      <c r="Z85" s="2">
        <f t="shared" ref="Z85:AC85" si="99">_xlfn.RANK.EQ(V85,V$4:V$200)</f>
        <v>127</v>
      </c>
      <c r="AA85" s="2">
        <f t="shared" si="99"/>
        <v>173</v>
      </c>
      <c r="AB85" s="2">
        <f t="shared" si="99"/>
        <v>126</v>
      </c>
      <c r="AC85" s="2">
        <f t="shared" si="99"/>
        <v>182</v>
      </c>
      <c r="AD85" s="10">
        <f t="shared" si="2"/>
        <v>11.5</v>
      </c>
      <c r="AE85" s="2">
        <v>55</v>
      </c>
      <c r="AF85" s="10">
        <f t="shared" si="3"/>
        <v>8</v>
      </c>
      <c r="AG85" s="2"/>
      <c r="AH85" s="2"/>
      <c r="AI85" s="9">
        <f t="shared" ref="AI85:AI200" si="100">T85+MAX(AD85,AF85)*1.5</f>
        <v>68.25</v>
      </c>
      <c r="AJ85" s="10">
        <f t="shared" si="84"/>
        <v>0</v>
      </c>
      <c r="AK85" s="10">
        <f t="shared" si="6"/>
        <v>0</v>
      </c>
      <c r="AL85" s="9">
        <f t="shared" si="98"/>
        <v>68.25</v>
      </c>
      <c r="AM85" s="10">
        <f t="shared" si="85"/>
        <v>0</v>
      </c>
      <c r="AN85" s="10">
        <f t="shared" si="9"/>
        <v>0</v>
      </c>
      <c r="AO85" s="10">
        <f t="shared" si="10"/>
        <v>0</v>
      </c>
    </row>
    <row r="86" spans="1:41">
      <c r="A86" s="3">
        <v>20085</v>
      </c>
      <c r="B86" s="2" t="s">
        <v>165</v>
      </c>
      <c r="C86" s="3"/>
      <c r="D86" s="3" t="s">
        <v>46</v>
      </c>
      <c r="E86" s="3" t="s">
        <v>60</v>
      </c>
      <c r="F86" s="3" t="s">
        <v>61</v>
      </c>
      <c r="G86" s="3" t="s">
        <v>52</v>
      </c>
      <c r="H86" s="3" t="s">
        <v>157</v>
      </c>
      <c r="I86" s="3" t="s">
        <v>54</v>
      </c>
      <c r="J86" s="3" t="s">
        <v>49</v>
      </c>
      <c r="K86" s="4"/>
      <c r="L86" s="3" t="s">
        <v>55</v>
      </c>
      <c r="M86" s="4">
        <v>15000</v>
      </c>
      <c r="N86" s="2">
        <v>5</v>
      </c>
      <c r="O86" s="5" t="s">
        <v>55</v>
      </c>
      <c r="P86" s="25">
        <v>25.4</v>
      </c>
      <c r="Q86" s="26">
        <f t="shared" si="0"/>
        <v>800.09999999999991</v>
      </c>
      <c r="R86" s="27">
        <v>2</v>
      </c>
      <c r="S86" s="2"/>
      <c r="T86" s="2">
        <v>51</v>
      </c>
      <c r="U86" s="2"/>
      <c r="V86" s="10">
        <v>28108</v>
      </c>
      <c r="W86" s="10">
        <v>13872</v>
      </c>
      <c r="X86" s="10">
        <v>18</v>
      </c>
      <c r="Y86" s="10">
        <v>9</v>
      </c>
      <c r="Z86" s="2">
        <f t="shared" ref="Z86:AC86" si="101">_xlfn.RANK.EQ(V86,V$4:V$200)</f>
        <v>124</v>
      </c>
      <c r="AA86" s="2">
        <f t="shared" si="101"/>
        <v>176</v>
      </c>
      <c r="AB86" s="2">
        <f t="shared" si="101"/>
        <v>119</v>
      </c>
      <c r="AC86" s="2">
        <f t="shared" si="101"/>
        <v>177</v>
      </c>
      <c r="AD86" s="10">
        <f t="shared" si="2"/>
        <v>13.5</v>
      </c>
      <c r="AE86" s="2">
        <v>160</v>
      </c>
      <c r="AF86" s="10">
        <f t="shared" si="3"/>
        <v>9</v>
      </c>
      <c r="AG86" s="2"/>
      <c r="AH86" s="2"/>
      <c r="AI86" s="9">
        <f t="shared" si="100"/>
        <v>71.25</v>
      </c>
      <c r="AJ86" s="10">
        <f t="shared" si="84"/>
        <v>0</v>
      </c>
      <c r="AK86" s="10">
        <f t="shared" si="6"/>
        <v>0</v>
      </c>
      <c r="AL86" s="9">
        <f t="shared" si="98"/>
        <v>78</v>
      </c>
      <c r="AM86" s="10">
        <f t="shared" si="85"/>
        <v>0</v>
      </c>
      <c r="AN86" s="10">
        <f t="shared" si="9"/>
        <v>0</v>
      </c>
      <c r="AO86" s="10">
        <f t="shared" si="10"/>
        <v>0</v>
      </c>
    </row>
    <row r="87" spans="1:41">
      <c r="A87" s="3">
        <v>20045</v>
      </c>
      <c r="B87" s="2" t="s">
        <v>166</v>
      </c>
      <c r="C87" s="3" t="s">
        <v>46</v>
      </c>
      <c r="D87" s="3" t="s">
        <v>46</v>
      </c>
      <c r="E87" s="3" t="s">
        <v>46</v>
      </c>
      <c r="F87" s="3"/>
      <c r="G87" s="3" t="s">
        <v>130</v>
      </c>
      <c r="H87" s="3"/>
      <c r="I87" s="3" t="s">
        <v>119</v>
      </c>
      <c r="J87" s="3" t="s">
        <v>49</v>
      </c>
      <c r="K87" s="4"/>
      <c r="L87" s="3"/>
      <c r="M87" s="4"/>
      <c r="N87" s="2">
        <v>5</v>
      </c>
      <c r="O87" s="5" t="s">
        <v>55</v>
      </c>
      <c r="P87" s="25">
        <v>15.99</v>
      </c>
      <c r="Q87" s="26">
        <f t="shared" si="0"/>
        <v>503.685</v>
      </c>
      <c r="R87" s="27">
        <v>1.5</v>
      </c>
      <c r="S87" s="2"/>
      <c r="T87" s="2">
        <v>51</v>
      </c>
      <c r="U87" s="2"/>
      <c r="V87" s="10">
        <v>44174</v>
      </c>
      <c r="W87" s="10">
        <v>29750</v>
      </c>
      <c r="X87" s="10">
        <v>46</v>
      </c>
      <c r="Y87" s="10">
        <v>31</v>
      </c>
      <c r="Z87" s="2">
        <f t="shared" ref="Z87:AC87" si="102">_xlfn.RANK.EQ(V87,V$4:V$200)</f>
        <v>100</v>
      </c>
      <c r="AA87" s="2">
        <f t="shared" si="102"/>
        <v>139</v>
      </c>
      <c r="AB87" s="2">
        <f t="shared" si="102"/>
        <v>65</v>
      </c>
      <c r="AC87" s="2">
        <f t="shared" si="102"/>
        <v>103</v>
      </c>
      <c r="AD87" s="10">
        <f t="shared" si="2"/>
        <v>38.5</v>
      </c>
      <c r="AE87" s="2">
        <v>199</v>
      </c>
      <c r="AF87" s="10">
        <f t="shared" si="3"/>
        <v>31</v>
      </c>
      <c r="AG87" s="2"/>
      <c r="AH87" s="2"/>
      <c r="AI87" s="9">
        <f t="shared" si="100"/>
        <v>108.75</v>
      </c>
      <c r="AJ87" s="10">
        <f t="shared" si="84"/>
        <v>0</v>
      </c>
      <c r="AK87" s="10">
        <f t="shared" si="6"/>
        <v>0</v>
      </c>
      <c r="AL87" s="9">
        <f t="shared" si="98"/>
        <v>108.75</v>
      </c>
      <c r="AM87" s="10">
        <f t="shared" si="85"/>
        <v>0</v>
      </c>
      <c r="AN87" s="10">
        <f t="shared" si="9"/>
        <v>0</v>
      </c>
      <c r="AO87" s="10">
        <f t="shared" si="10"/>
        <v>0</v>
      </c>
    </row>
    <row r="88" spans="1:41">
      <c r="A88" s="3">
        <v>70050</v>
      </c>
      <c r="B88" s="2" t="s">
        <v>167</v>
      </c>
      <c r="C88" s="3" t="s">
        <v>46</v>
      </c>
      <c r="D88" s="3" t="s">
        <v>46</v>
      </c>
      <c r="E88" s="3" t="s">
        <v>46</v>
      </c>
      <c r="F88" s="3"/>
      <c r="G88" s="3" t="s">
        <v>62</v>
      </c>
      <c r="H88" s="3"/>
      <c r="I88" s="3" t="s">
        <v>63</v>
      </c>
      <c r="J88" s="3" t="s">
        <v>49</v>
      </c>
      <c r="K88" s="4"/>
      <c r="L88" s="3"/>
      <c r="M88" s="4"/>
      <c r="N88" s="2">
        <v>5</v>
      </c>
      <c r="O88" s="5" t="s">
        <v>55</v>
      </c>
      <c r="P88" s="25">
        <v>76</v>
      </c>
      <c r="Q88" s="26">
        <f t="shared" si="0"/>
        <v>2394</v>
      </c>
      <c r="R88" s="27">
        <v>1.5</v>
      </c>
      <c r="S88" s="2"/>
      <c r="T88" s="2">
        <v>51</v>
      </c>
      <c r="U88" s="2"/>
      <c r="V88" s="10">
        <v>50247</v>
      </c>
      <c r="W88" s="10">
        <v>72670</v>
      </c>
      <c r="X88" s="10">
        <v>11</v>
      </c>
      <c r="Y88" s="10">
        <v>16</v>
      </c>
      <c r="Z88" s="2">
        <f t="shared" ref="Z88:AC88" si="103">_xlfn.RANK.EQ(V88,V$4:V$200)</f>
        <v>92</v>
      </c>
      <c r="AA88" s="2">
        <f t="shared" si="103"/>
        <v>76</v>
      </c>
      <c r="AB88" s="2">
        <f t="shared" si="103"/>
        <v>144</v>
      </c>
      <c r="AC88" s="2">
        <f t="shared" si="103"/>
        <v>147</v>
      </c>
      <c r="AD88" s="10">
        <f t="shared" si="2"/>
        <v>13.5</v>
      </c>
      <c r="AE88" s="2">
        <v>56</v>
      </c>
      <c r="AF88" s="10">
        <f t="shared" si="3"/>
        <v>16</v>
      </c>
      <c r="AG88" s="2">
        <v>40</v>
      </c>
      <c r="AH88" s="2"/>
      <c r="AI88" s="9">
        <f t="shared" si="100"/>
        <v>75</v>
      </c>
      <c r="AJ88" s="10">
        <f t="shared" si="84"/>
        <v>0</v>
      </c>
      <c r="AK88" s="10">
        <f t="shared" si="6"/>
        <v>0</v>
      </c>
      <c r="AL88" s="9">
        <f t="shared" si="98"/>
        <v>75</v>
      </c>
      <c r="AM88" s="10">
        <f t="shared" si="85"/>
        <v>0</v>
      </c>
      <c r="AN88" s="10">
        <f t="shared" si="9"/>
        <v>0</v>
      </c>
      <c r="AO88" s="10">
        <f t="shared" si="10"/>
        <v>0</v>
      </c>
    </row>
    <row r="89" spans="1:41">
      <c r="A89" s="3">
        <v>70010</v>
      </c>
      <c r="B89" s="2" t="s">
        <v>168</v>
      </c>
      <c r="C89" s="3" t="s">
        <v>46</v>
      </c>
      <c r="D89" s="3" t="s">
        <v>46</v>
      </c>
      <c r="E89" s="3" t="s">
        <v>60</v>
      </c>
      <c r="F89" s="3" t="s">
        <v>61</v>
      </c>
      <c r="G89" s="3" t="s">
        <v>62</v>
      </c>
      <c r="H89" s="3"/>
      <c r="I89" s="3" t="s">
        <v>63</v>
      </c>
      <c r="J89" s="3" t="s">
        <v>49</v>
      </c>
      <c r="K89" s="4"/>
      <c r="L89" s="3"/>
      <c r="M89" s="4"/>
      <c r="N89" s="2">
        <v>5</v>
      </c>
      <c r="O89" s="5" t="s">
        <v>55</v>
      </c>
      <c r="P89" s="25">
        <v>105.6</v>
      </c>
      <c r="Q89" s="26">
        <f t="shared" si="0"/>
        <v>3326.3999999999996</v>
      </c>
      <c r="R89" s="27">
        <v>1.5</v>
      </c>
      <c r="S89" s="2"/>
      <c r="T89" s="2">
        <v>51</v>
      </c>
      <c r="U89" s="2"/>
      <c r="V89" s="10">
        <v>12844</v>
      </c>
      <c r="W89" s="10">
        <v>38532</v>
      </c>
      <c r="X89" s="10">
        <v>2</v>
      </c>
      <c r="Y89" s="10">
        <v>6</v>
      </c>
      <c r="Z89" s="2">
        <f t="shared" ref="Z89:AC89" si="104">_xlfn.RANK.EQ(V89,V$4:V$200)</f>
        <v>156</v>
      </c>
      <c r="AA89" s="2">
        <f t="shared" si="104"/>
        <v>125</v>
      </c>
      <c r="AB89" s="2">
        <f t="shared" si="104"/>
        <v>173</v>
      </c>
      <c r="AC89" s="2">
        <f t="shared" si="104"/>
        <v>190</v>
      </c>
      <c r="AD89" s="10">
        <f t="shared" si="2"/>
        <v>4</v>
      </c>
      <c r="AE89" s="2">
        <v>72</v>
      </c>
      <c r="AF89" s="10">
        <f t="shared" si="3"/>
        <v>6</v>
      </c>
      <c r="AG89" s="2"/>
      <c r="AH89" s="2"/>
      <c r="AI89" s="9">
        <f t="shared" si="100"/>
        <v>60</v>
      </c>
      <c r="AJ89" s="10">
        <f t="shared" si="84"/>
        <v>0</v>
      </c>
      <c r="AK89" s="10">
        <f t="shared" si="6"/>
        <v>0</v>
      </c>
      <c r="AL89" s="9">
        <f t="shared" si="98"/>
        <v>60</v>
      </c>
      <c r="AM89" s="10">
        <f t="shared" si="85"/>
        <v>0</v>
      </c>
      <c r="AN89" s="10">
        <f t="shared" si="9"/>
        <v>0</v>
      </c>
      <c r="AO89" s="10">
        <f t="shared" si="10"/>
        <v>0</v>
      </c>
    </row>
    <row r="90" spans="1:41">
      <c r="A90" s="3">
        <v>70085</v>
      </c>
      <c r="B90" s="2" t="s">
        <v>169</v>
      </c>
      <c r="C90" s="3"/>
      <c r="D90" s="3" t="s">
        <v>46</v>
      </c>
      <c r="E90" s="3" t="s">
        <v>46</v>
      </c>
      <c r="F90" s="3"/>
      <c r="G90" s="3" t="s">
        <v>75</v>
      </c>
      <c r="H90" s="3"/>
      <c r="I90" s="3" t="s">
        <v>48</v>
      </c>
      <c r="J90" s="3" t="s">
        <v>49</v>
      </c>
      <c r="K90" s="4"/>
      <c r="L90" s="3"/>
      <c r="M90" s="4"/>
      <c r="N90" s="2">
        <v>5</v>
      </c>
      <c r="O90" s="5" t="s">
        <v>50</v>
      </c>
      <c r="P90" s="33">
        <v>1925</v>
      </c>
      <c r="Q90" s="26">
        <f t="shared" si="0"/>
        <v>1925</v>
      </c>
      <c r="R90" s="27">
        <v>1.5</v>
      </c>
      <c r="S90" s="2"/>
      <c r="T90" s="2">
        <v>51</v>
      </c>
      <c r="U90" s="2"/>
      <c r="V90" s="10">
        <v>250472</v>
      </c>
      <c r="W90" s="10">
        <v>317982</v>
      </c>
      <c r="X90" s="10">
        <v>82</v>
      </c>
      <c r="Y90" s="10">
        <v>104</v>
      </c>
      <c r="Z90" s="2">
        <f t="shared" ref="Z90:AC90" si="105">_xlfn.RANK.EQ(V90,V$4:V$200)</f>
        <v>6</v>
      </c>
      <c r="AA90" s="2">
        <f t="shared" si="105"/>
        <v>6</v>
      </c>
      <c r="AB90" s="2">
        <f t="shared" si="105"/>
        <v>34</v>
      </c>
      <c r="AC90" s="2">
        <f t="shared" si="105"/>
        <v>32</v>
      </c>
      <c r="AD90" s="10">
        <f t="shared" si="2"/>
        <v>93</v>
      </c>
      <c r="AE90" s="2">
        <v>458</v>
      </c>
      <c r="AF90" s="10">
        <f t="shared" si="3"/>
        <v>104</v>
      </c>
      <c r="AG90" s="2"/>
      <c r="AH90" s="2"/>
      <c r="AI90" s="9">
        <f t="shared" si="100"/>
        <v>207</v>
      </c>
      <c r="AJ90" s="10">
        <f t="shared" si="84"/>
        <v>0</v>
      </c>
      <c r="AK90" s="10">
        <f t="shared" si="6"/>
        <v>0</v>
      </c>
      <c r="AL90" s="9">
        <f t="shared" si="98"/>
        <v>207</v>
      </c>
      <c r="AM90" s="10">
        <f t="shared" si="85"/>
        <v>0</v>
      </c>
      <c r="AN90" s="10">
        <f t="shared" si="9"/>
        <v>0</v>
      </c>
      <c r="AO90" s="10">
        <f t="shared" si="10"/>
        <v>0</v>
      </c>
    </row>
    <row r="91" spans="1:41">
      <c r="A91" s="3">
        <v>70089</v>
      </c>
      <c r="B91" s="2" t="s">
        <v>170</v>
      </c>
      <c r="C91" s="3"/>
      <c r="D91" s="3" t="s">
        <v>46</v>
      </c>
      <c r="E91" s="3" t="s">
        <v>46</v>
      </c>
      <c r="F91" s="3"/>
      <c r="G91" s="3" t="s">
        <v>75</v>
      </c>
      <c r="H91" s="3"/>
      <c r="I91" s="3" t="s">
        <v>48</v>
      </c>
      <c r="J91" s="3" t="s">
        <v>49</v>
      </c>
      <c r="K91" s="4"/>
      <c r="L91" s="3"/>
      <c r="M91" s="4"/>
      <c r="N91" s="2">
        <v>5</v>
      </c>
      <c r="O91" s="5" t="s">
        <v>50</v>
      </c>
      <c r="P91" s="33">
        <v>1844</v>
      </c>
      <c r="Q91" s="26">
        <f t="shared" si="0"/>
        <v>1844</v>
      </c>
      <c r="R91" s="27">
        <v>1.5</v>
      </c>
      <c r="S91" s="2"/>
      <c r="T91" s="2">
        <v>51</v>
      </c>
      <c r="U91" s="2"/>
      <c r="V91" s="10">
        <v>176010</v>
      </c>
      <c r="W91" s="10">
        <v>145424</v>
      </c>
      <c r="X91" s="10">
        <v>60</v>
      </c>
      <c r="Y91" s="10">
        <v>50</v>
      </c>
      <c r="Z91" s="2">
        <f t="shared" ref="Z91:AC91" si="106">_xlfn.RANK.EQ(V91,V$4:V$200)</f>
        <v>13</v>
      </c>
      <c r="AA91" s="2">
        <f t="shared" si="106"/>
        <v>24</v>
      </c>
      <c r="AB91" s="2">
        <f t="shared" si="106"/>
        <v>52</v>
      </c>
      <c r="AC91" s="2">
        <f t="shared" si="106"/>
        <v>73</v>
      </c>
      <c r="AD91" s="10">
        <f t="shared" si="2"/>
        <v>55</v>
      </c>
      <c r="AE91" s="2">
        <v>488</v>
      </c>
      <c r="AF91" s="10">
        <f t="shared" si="3"/>
        <v>50</v>
      </c>
      <c r="AG91" s="2"/>
      <c r="AH91" s="2"/>
      <c r="AI91" s="9">
        <f t="shared" si="100"/>
        <v>133.5</v>
      </c>
      <c r="AJ91" s="10">
        <f t="shared" si="84"/>
        <v>0</v>
      </c>
      <c r="AK91" s="10">
        <f t="shared" si="6"/>
        <v>0</v>
      </c>
      <c r="AL91" s="9">
        <f t="shared" si="98"/>
        <v>133.5</v>
      </c>
      <c r="AM91" s="10">
        <f t="shared" si="85"/>
        <v>0</v>
      </c>
      <c r="AN91" s="10">
        <f t="shared" si="9"/>
        <v>0</v>
      </c>
      <c r="AO91" s="10">
        <f t="shared" si="10"/>
        <v>0</v>
      </c>
    </row>
    <row r="92" spans="1:41">
      <c r="A92" s="3">
        <v>70188</v>
      </c>
      <c r="B92" s="2" t="s">
        <v>171</v>
      </c>
      <c r="C92" s="3"/>
      <c r="D92" s="3" t="s">
        <v>46</v>
      </c>
      <c r="E92" s="3" t="s">
        <v>46</v>
      </c>
      <c r="F92" s="3"/>
      <c r="G92" s="3" t="s">
        <v>172</v>
      </c>
      <c r="H92" s="3"/>
      <c r="I92" s="3" t="s">
        <v>119</v>
      </c>
      <c r="J92" s="3" t="s">
        <v>49</v>
      </c>
      <c r="K92" s="32">
        <v>40</v>
      </c>
      <c r="L92" s="3"/>
      <c r="M92" s="4"/>
      <c r="N92" s="2">
        <v>5</v>
      </c>
      <c r="O92" s="5" t="s">
        <v>55</v>
      </c>
      <c r="P92" s="25">
        <v>15.99</v>
      </c>
      <c r="Q92" s="26">
        <f t="shared" si="0"/>
        <v>503.685</v>
      </c>
      <c r="R92" s="27">
        <v>1.5</v>
      </c>
      <c r="S92" s="2"/>
      <c r="T92" s="2">
        <v>51</v>
      </c>
      <c r="U92" s="2"/>
      <c r="V92" s="10">
        <v>24166</v>
      </c>
      <c r="W92" s="10">
        <v>35574</v>
      </c>
      <c r="X92" s="10">
        <v>25</v>
      </c>
      <c r="Y92" s="10">
        <v>37</v>
      </c>
      <c r="Z92" s="2">
        <f t="shared" ref="Z92:AC92" si="107">_xlfn.RANK.EQ(V92,V$4:V$200)</f>
        <v>131</v>
      </c>
      <c r="AA92" s="2">
        <f t="shared" si="107"/>
        <v>128</v>
      </c>
      <c r="AB92" s="2">
        <f t="shared" si="107"/>
        <v>106</v>
      </c>
      <c r="AC92" s="2">
        <f t="shared" si="107"/>
        <v>95</v>
      </c>
      <c r="AD92" s="10">
        <f t="shared" si="2"/>
        <v>31</v>
      </c>
      <c r="AE92" s="2">
        <v>176</v>
      </c>
      <c r="AF92" s="10">
        <f t="shared" si="3"/>
        <v>37</v>
      </c>
      <c r="AG92" s="2"/>
      <c r="AH92" s="2"/>
      <c r="AI92" s="9">
        <f t="shared" si="100"/>
        <v>106.5</v>
      </c>
      <c r="AJ92" s="10">
        <f t="shared" si="84"/>
        <v>0</v>
      </c>
      <c r="AK92" s="10">
        <f t="shared" si="6"/>
        <v>0</v>
      </c>
      <c r="AL92" s="9">
        <f t="shared" si="98"/>
        <v>106.5</v>
      </c>
      <c r="AM92" s="10">
        <f t="shared" si="85"/>
        <v>0</v>
      </c>
      <c r="AN92" s="10">
        <f t="shared" si="9"/>
        <v>0</v>
      </c>
      <c r="AO92" s="10">
        <f t="shared" si="10"/>
        <v>0</v>
      </c>
    </row>
    <row r="93" spans="1:41">
      <c r="A93" s="3">
        <v>70141</v>
      </c>
      <c r="B93" s="2" t="s">
        <v>173</v>
      </c>
      <c r="C93" s="3" t="s">
        <v>46</v>
      </c>
      <c r="D93" s="3" t="s">
        <v>46</v>
      </c>
      <c r="E93" s="3" t="s">
        <v>46</v>
      </c>
      <c r="F93" s="3"/>
      <c r="G93" s="3" t="s">
        <v>172</v>
      </c>
      <c r="H93" s="3"/>
      <c r="I93" s="3" t="s">
        <v>119</v>
      </c>
      <c r="J93" s="3" t="s">
        <v>49</v>
      </c>
      <c r="K93" s="32">
        <v>40</v>
      </c>
      <c r="L93" s="3"/>
      <c r="M93" s="4"/>
      <c r="N93" s="2">
        <v>5</v>
      </c>
      <c r="O93" s="5" t="s">
        <v>55</v>
      </c>
      <c r="P93" s="25">
        <v>25.99</v>
      </c>
      <c r="Q93" s="26">
        <f t="shared" si="0"/>
        <v>818.68499999999995</v>
      </c>
      <c r="R93" s="27">
        <v>1.5</v>
      </c>
      <c r="S93" s="2"/>
      <c r="T93" s="2">
        <v>153</v>
      </c>
      <c r="U93" s="2"/>
      <c r="V93" s="10">
        <v>194065</v>
      </c>
      <c r="W93" s="10">
        <v>270746</v>
      </c>
      <c r="X93" s="10">
        <v>134</v>
      </c>
      <c r="Y93" s="10">
        <v>188</v>
      </c>
      <c r="Z93" s="2">
        <f t="shared" ref="Z93:AC93" si="108">_xlfn.RANK.EQ(V93,V$4:V$200)</f>
        <v>10</v>
      </c>
      <c r="AA93" s="2">
        <f t="shared" si="108"/>
        <v>8</v>
      </c>
      <c r="AB93" s="2">
        <f t="shared" si="108"/>
        <v>18</v>
      </c>
      <c r="AC93" s="2">
        <f t="shared" si="108"/>
        <v>11</v>
      </c>
      <c r="AD93" s="10">
        <f t="shared" si="2"/>
        <v>161</v>
      </c>
      <c r="AE93" s="2">
        <v>363</v>
      </c>
      <c r="AF93" s="10">
        <f t="shared" si="3"/>
        <v>188</v>
      </c>
      <c r="AG93" s="2">
        <v>450</v>
      </c>
      <c r="AH93" s="2"/>
      <c r="AI93" s="9">
        <f t="shared" si="100"/>
        <v>435</v>
      </c>
      <c r="AJ93" s="10">
        <f t="shared" si="84"/>
        <v>0</v>
      </c>
      <c r="AK93" s="10">
        <f t="shared" si="6"/>
        <v>0</v>
      </c>
      <c r="AL93" s="9">
        <f t="shared" si="98"/>
        <v>435</v>
      </c>
      <c r="AM93" s="10">
        <f t="shared" si="85"/>
        <v>0</v>
      </c>
      <c r="AN93" s="10">
        <f t="shared" si="9"/>
        <v>0</v>
      </c>
      <c r="AO93" s="10">
        <f t="shared" si="10"/>
        <v>0</v>
      </c>
    </row>
    <row r="94" spans="1:41">
      <c r="A94" s="3">
        <v>70193</v>
      </c>
      <c r="B94" s="2" t="s">
        <v>174</v>
      </c>
      <c r="C94" s="3"/>
      <c r="D94" s="3" t="s">
        <v>46</v>
      </c>
      <c r="E94" s="3" t="s">
        <v>46</v>
      </c>
      <c r="F94" s="3" t="s">
        <v>61</v>
      </c>
      <c r="G94" s="3" t="s">
        <v>175</v>
      </c>
      <c r="H94" s="3"/>
      <c r="I94" s="3" t="s">
        <v>176</v>
      </c>
      <c r="J94" s="3" t="s">
        <v>49</v>
      </c>
      <c r="K94" s="4"/>
      <c r="L94" s="3"/>
      <c r="M94" s="4"/>
      <c r="N94" s="2">
        <v>5</v>
      </c>
      <c r="O94" s="5" t="s">
        <v>177</v>
      </c>
      <c r="P94" s="33">
        <v>2250</v>
      </c>
      <c r="Q94" s="26">
        <f t="shared" si="0"/>
        <v>450</v>
      </c>
      <c r="R94" s="27">
        <v>1.5</v>
      </c>
      <c r="S94" s="2"/>
      <c r="T94" s="2">
        <v>51</v>
      </c>
      <c r="U94" s="2"/>
      <c r="V94" s="10">
        <v>46898</v>
      </c>
      <c r="W94" s="10">
        <v>43217</v>
      </c>
      <c r="X94" s="10">
        <v>34</v>
      </c>
      <c r="Y94" s="10">
        <v>31</v>
      </c>
      <c r="Z94" s="2">
        <f t="shared" ref="Z94:AC94" si="109">_xlfn.RANK.EQ(V94,V$4:V$200)</f>
        <v>98</v>
      </c>
      <c r="AA94" s="2">
        <f t="shared" si="109"/>
        <v>117</v>
      </c>
      <c r="AB94" s="2">
        <f t="shared" si="109"/>
        <v>89</v>
      </c>
      <c r="AC94" s="2">
        <f t="shared" si="109"/>
        <v>103</v>
      </c>
      <c r="AD94" s="10">
        <f t="shared" si="2"/>
        <v>32.5</v>
      </c>
      <c r="AE94" s="2">
        <v>315</v>
      </c>
      <c r="AF94" s="10">
        <f t="shared" si="3"/>
        <v>31</v>
      </c>
      <c r="AG94" s="2"/>
      <c r="AH94" s="2"/>
      <c r="AI94" s="9">
        <f t="shared" si="100"/>
        <v>99.75</v>
      </c>
      <c r="AJ94" s="10">
        <f t="shared" si="84"/>
        <v>0</v>
      </c>
      <c r="AK94" s="10">
        <f t="shared" si="6"/>
        <v>0</v>
      </c>
      <c r="AL94" s="9">
        <f t="shared" si="98"/>
        <v>99.75</v>
      </c>
      <c r="AM94" s="10">
        <f t="shared" si="85"/>
        <v>0</v>
      </c>
      <c r="AN94" s="10">
        <f t="shared" si="9"/>
        <v>0</v>
      </c>
      <c r="AO94" s="10">
        <f t="shared" si="10"/>
        <v>0</v>
      </c>
    </row>
    <row r="95" spans="1:41">
      <c r="A95" s="3">
        <v>30064</v>
      </c>
      <c r="B95" s="2" t="s">
        <v>178</v>
      </c>
      <c r="C95" s="3" t="s">
        <v>46</v>
      </c>
      <c r="D95" s="3" t="s">
        <v>46</v>
      </c>
      <c r="E95" s="3" t="s">
        <v>46</v>
      </c>
      <c r="F95" s="3"/>
      <c r="G95" s="3" t="s">
        <v>52</v>
      </c>
      <c r="H95" s="3"/>
      <c r="I95" s="3" t="s">
        <v>54</v>
      </c>
      <c r="J95" s="3" t="s">
        <v>49</v>
      </c>
      <c r="K95" s="4"/>
      <c r="L95" s="3"/>
      <c r="M95" s="4"/>
      <c r="N95" s="2">
        <v>5</v>
      </c>
      <c r="O95" s="5" t="s">
        <v>55</v>
      </c>
      <c r="P95" s="25">
        <v>82.48</v>
      </c>
      <c r="Q95" s="26">
        <f t="shared" si="0"/>
        <v>2598.1200000000003</v>
      </c>
      <c r="R95" s="27">
        <v>2</v>
      </c>
      <c r="S95" s="2"/>
      <c r="T95" s="2">
        <v>51</v>
      </c>
      <c r="U95" s="2"/>
      <c r="V95" s="10">
        <v>34747</v>
      </c>
      <c r="W95" s="10">
        <v>47234</v>
      </c>
      <c r="X95" s="10">
        <v>8</v>
      </c>
      <c r="Y95" s="10">
        <v>11</v>
      </c>
      <c r="Z95" s="2">
        <f t="shared" ref="Z95:AC95" si="110">_xlfn.RANK.EQ(V95,V$4:V$200)</f>
        <v>111</v>
      </c>
      <c r="AA95" s="2">
        <f t="shared" si="110"/>
        <v>112</v>
      </c>
      <c r="AB95" s="2">
        <f t="shared" si="110"/>
        <v>155</v>
      </c>
      <c r="AC95" s="2">
        <f t="shared" si="110"/>
        <v>166</v>
      </c>
      <c r="AD95" s="10">
        <f t="shared" si="2"/>
        <v>9.5</v>
      </c>
      <c r="AE95" s="2">
        <v>75</v>
      </c>
      <c r="AF95" s="10">
        <f t="shared" si="3"/>
        <v>11</v>
      </c>
      <c r="AG95" s="2"/>
      <c r="AH95" s="2"/>
      <c r="AI95" s="9">
        <f t="shared" si="100"/>
        <v>67.5</v>
      </c>
      <c r="AJ95" s="10">
        <f t="shared" si="84"/>
        <v>5</v>
      </c>
      <c r="AK95" s="10">
        <f t="shared" si="6"/>
        <v>12990.600000000002</v>
      </c>
      <c r="AL95" s="9">
        <f t="shared" si="98"/>
        <v>73</v>
      </c>
      <c r="AM95" s="10">
        <f t="shared" si="85"/>
        <v>10</v>
      </c>
      <c r="AN95" s="10">
        <f t="shared" si="9"/>
        <v>25981.200000000004</v>
      </c>
      <c r="AO95" s="10">
        <f t="shared" si="10"/>
        <v>5</v>
      </c>
    </row>
    <row r="96" spans="1:41">
      <c r="A96" s="3">
        <v>70120</v>
      </c>
      <c r="B96" s="2" t="s">
        <v>179</v>
      </c>
      <c r="C96" s="3"/>
      <c r="D96" s="3" t="s">
        <v>46</v>
      </c>
      <c r="E96" s="3" t="s">
        <v>46</v>
      </c>
      <c r="F96" s="3"/>
      <c r="G96" s="3" t="s">
        <v>75</v>
      </c>
      <c r="H96" s="3"/>
      <c r="I96" s="3" t="s">
        <v>48</v>
      </c>
      <c r="J96" s="3" t="s">
        <v>49</v>
      </c>
      <c r="K96" s="4"/>
      <c r="L96" s="3"/>
      <c r="M96" s="4"/>
      <c r="N96" s="2">
        <v>5</v>
      </c>
      <c r="O96" s="5" t="s">
        <v>55</v>
      </c>
      <c r="P96" s="25">
        <v>36.5</v>
      </c>
      <c r="Q96" s="26">
        <f t="shared" si="0"/>
        <v>1149.75</v>
      </c>
      <c r="R96" s="27">
        <v>1.5</v>
      </c>
      <c r="S96" s="2"/>
      <c r="T96" s="2">
        <v>51</v>
      </c>
      <c r="U96" s="2"/>
      <c r="V96" s="10">
        <v>21432</v>
      </c>
      <c r="W96" s="10">
        <v>10880</v>
      </c>
      <c r="X96" s="10">
        <v>12</v>
      </c>
      <c r="Y96" s="10">
        <v>6</v>
      </c>
      <c r="Z96" s="2">
        <f t="shared" ref="Z96:AC96" si="111">_xlfn.RANK.EQ(V96,V$4:V$200)</f>
        <v>138</v>
      </c>
      <c r="AA96" s="2">
        <f t="shared" si="111"/>
        <v>183</v>
      </c>
      <c r="AB96" s="2">
        <f t="shared" si="111"/>
        <v>140</v>
      </c>
      <c r="AC96" s="2">
        <f t="shared" si="111"/>
        <v>190</v>
      </c>
      <c r="AD96" s="10">
        <f t="shared" si="2"/>
        <v>9</v>
      </c>
      <c r="AE96" s="2">
        <v>237</v>
      </c>
      <c r="AF96" s="10">
        <f t="shared" si="3"/>
        <v>6</v>
      </c>
      <c r="AG96" s="2"/>
      <c r="AH96" s="2"/>
      <c r="AI96" s="9">
        <f t="shared" si="100"/>
        <v>64.5</v>
      </c>
      <c r="AJ96" s="10">
        <f t="shared" si="84"/>
        <v>0</v>
      </c>
      <c r="AK96" s="10">
        <f t="shared" si="6"/>
        <v>0</v>
      </c>
      <c r="AL96" s="9">
        <f t="shared" si="98"/>
        <v>64.5</v>
      </c>
      <c r="AM96" s="10">
        <f t="shared" si="85"/>
        <v>0</v>
      </c>
      <c r="AN96" s="10">
        <f t="shared" si="9"/>
        <v>0</v>
      </c>
      <c r="AO96" s="10">
        <f t="shared" si="10"/>
        <v>0</v>
      </c>
    </row>
    <row r="97" spans="1:41">
      <c r="A97" s="3">
        <v>70092</v>
      </c>
      <c r="B97" s="2" t="s">
        <v>180</v>
      </c>
      <c r="C97" s="3" t="s">
        <v>46</v>
      </c>
      <c r="D97" s="3" t="s">
        <v>46</v>
      </c>
      <c r="E97" s="3" t="s">
        <v>46</v>
      </c>
      <c r="F97" s="3"/>
      <c r="G97" s="3" t="s">
        <v>181</v>
      </c>
      <c r="H97" s="3"/>
      <c r="I97" s="3" t="s">
        <v>54</v>
      </c>
      <c r="J97" s="3" t="s">
        <v>49</v>
      </c>
      <c r="K97" s="4"/>
      <c r="L97" s="3"/>
      <c r="M97" s="4"/>
      <c r="N97" s="2">
        <v>5</v>
      </c>
      <c r="O97" s="5" t="s">
        <v>55</v>
      </c>
      <c r="P97" s="25">
        <v>30</v>
      </c>
      <c r="Q97" s="26">
        <f t="shared" si="0"/>
        <v>945</v>
      </c>
      <c r="R97" s="27">
        <v>1.5</v>
      </c>
      <c r="S97" s="2"/>
      <c r="T97" s="2">
        <v>51</v>
      </c>
      <c r="U97" s="2"/>
      <c r="V97" s="10">
        <v>27405</v>
      </c>
      <c r="W97" s="10">
        <v>28869</v>
      </c>
      <c r="X97" s="10">
        <v>15</v>
      </c>
      <c r="Y97" s="10">
        <v>16</v>
      </c>
      <c r="Z97" s="2">
        <f t="shared" ref="Z97:AC97" si="112">_xlfn.RANK.EQ(V97,V$4:V$200)</f>
        <v>125</v>
      </c>
      <c r="AA97" s="2">
        <f t="shared" si="112"/>
        <v>144</v>
      </c>
      <c r="AB97" s="2">
        <f t="shared" si="112"/>
        <v>126</v>
      </c>
      <c r="AC97" s="2">
        <f t="shared" si="112"/>
        <v>147</v>
      </c>
      <c r="AD97" s="10">
        <f t="shared" si="2"/>
        <v>15.5</v>
      </c>
      <c r="AE97" s="2">
        <v>166</v>
      </c>
      <c r="AF97" s="10">
        <f t="shared" si="3"/>
        <v>16</v>
      </c>
      <c r="AG97" s="2"/>
      <c r="AH97" s="2"/>
      <c r="AI97" s="9">
        <f t="shared" si="100"/>
        <v>75</v>
      </c>
      <c r="AJ97" s="10">
        <f t="shared" si="84"/>
        <v>0</v>
      </c>
      <c r="AK97" s="10">
        <f t="shared" si="6"/>
        <v>0</v>
      </c>
      <c r="AL97" s="9">
        <f t="shared" si="98"/>
        <v>75</v>
      </c>
      <c r="AM97" s="10">
        <f t="shared" si="85"/>
        <v>0</v>
      </c>
      <c r="AN97" s="10">
        <f t="shared" si="9"/>
        <v>0</v>
      </c>
      <c r="AO97" s="10">
        <f t="shared" si="10"/>
        <v>0</v>
      </c>
    </row>
    <row r="98" spans="1:41">
      <c r="A98" s="3">
        <v>70071</v>
      </c>
      <c r="B98" s="2" t="s">
        <v>182</v>
      </c>
      <c r="C98" s="3" t="s">
        <v>46</v>
      </c>
      <c r="D98" s="3" t="s">
        <v>46</v>
      </c>
      <c r="E98" s="3" t="s">
        <v>60</v>
      </c>
      <c r="F98" s="3" t="s">
        <v>61</v>
      </c>
      <c r="G98" s="3" t="s">
        <v>52</v>
      </c>
      <c r="H98" s="3"/>
      <c r="I98" s="3" t="s">
        <v>54</v>
      </c>
      <c r="J98" s="3" t="s">
        <v>49</v>
      </c>
      <c r="K98" s="4"/>
      <c r="L98" s="3"/>
      <c r="M98" s="4"/>
      <c r="N98" s="2">
        <v>5</v>
      </c>
      <c r="O98" s="5" t="s">
        <v>55</v>
      </c>
      <c r="P98" s="25">
        <v>51.85</v>
      </c>
      <c r="Q98" s="26">
        <f t="shared" si="0"/>
        <v>1633.2750000000001</v>
      </c>
      <c r="R98" s="27">
        <v>2</v>
      </c>
      <c r="S98" s="2"/>
      <c r="T98" s="2">
        <v>51</v>
      </c>
      <c r="U98" s="2"/>
      <c r="V98" s="10">
        <v>2690</v>
      </c>
      <c r="W98" s="10">
        <v>5628</v>
      </c>
      <c r="X98" s="10">
        <v>1</v>
      </c>
      <c r="Y98" s="10">
        <v>2</v>
      </c>
      <c r="Z98" s="2">
        <f t="shared" ref="Z98:AC98" si="113">_xlfn.RANK.EQ(V98,V$4:V$200)</f>
        <v>167</v>
      </c>
      <c r="AA98" s="2">
        <f t="shared" si="113"/>
        <v>187</v>
      </c>
      <c r="AB98" s="2">
        <f t="shared" si="113"/>
        <v>174</v>
      </c>
      <c r="AC98" s="2">
        <f t="shared" si="113"/>
        <v>197</v>
      </c>
      <c r="AD98" s="10">
        <f t="shared" si="2"/>
        <v>1.5</v>
      </c>
      <c r="AE98" s="2">
        <v>281</v>
      </c>
      <c r="AF98" s="10">
        <f t="shared" si="3"/>
        <v>2</v>
      </c>
      <c r="AG98" s="2"/>
      <c r="AH98" s="2"/>
      <c r="AI98" s="9">
        <f t="shared" si="100"/>
        <v>54</v>
      </c>
      <c r="AJ98" s="10">
        <f t="shared" si="84"/>
        <v>0</v>
      </c>
      <c r="AK98" s="10">
        <f t="shared" si="6"/>
        <v>0</v>
      </c>
      <c r="AL98" s="9">
        <f t="shared" si="98"/>
        <v>55</v>
      </c>
      <c r="AM98" s="10">
        <f t="shared" si="85"/>
        <v>0</v>
      </c>
      <c r="AN98" s="10">
        <f t="shared" si="9"/>
        <v>0</v>
      </c>
      <c r="AO98" s="10">
        <f t="shared" si="10"/>
        <v>0</v>
      </c>
    </row>
    <row r="99" spans="1:41">
      <c r="A99" s="3">
        <v>70147</v>
      </c>
      <c r="B99" s="2" t="s">
        <v>183</v>
      </c>
      <c r="C99" s="3" t="s">
        <v>46</v>
      </c>
      <c r="D99" s="3" t="s">
        <v>46</v>
      </c>
      <c r="E99" s="3" t="s">
        <v>60</v>
      </c>
      <c r="F99" s="3" t="s">
        <v>61</v>
      </c>
      <c r="G99" s="3" t="s">
        <v>184</v>
      </c>
      <c r="H99" s="3"/>
      <c r="I99" s="3" t="s">
        <v>54</v>
      </c>
      <c r="J99" s="3" t="s">
        <v>115</v>
      </c>
      <c r="K99" s="4"/>
      <c r="L99" s="3"/>
      <c r="M99" s="4"/>
      <c r="N99" s="2">
        <v>5</v>
      </c>
      <c r="O99" s="5" t="s">
        <v>50</v>
      </c>
      <c r="P99" s="25">
        <v>592</v>
      </c>
      <c r="Q99" s="26">
        <f t="shared" si="0"/>
        <v>592</v>
      </c>
      <c r="R99" s="27">
        <v>1.5</v>
      </c>
      <c r="S99" s="2"/>
      <c r="T99" s="2">
        <v>102</v>
      </c>
      <c r="U99" s="2"/>
      <c r="V99" s="10">
        <v>74968</v>
      </c>
      <c r="W99" s="10">
        <v>98565</v>
      </c>
      <c r="X99" s="10">
        <v>83</v>
      </c>
      <c r="Y99" s="10">
        <v>109</v>
      </c>
      <c r="Z99" s="2">
        <f t="shared" ref="Z99:AC99" si="114">_xlfn.RANK.EQ(V99,V$4:V$200)</f>
        <v>55</v>
      </c>
      <c r="AA99" s="2">
        <f t="shared" si="114"/>
        <v>52</v>
      </c>
      <c r="AB99" s="2">
        <f t="shared" si="114"/>
        <v>33</v>
      </c>
      <c r="AC99" s="2">
        <f t="shared" si="114"/>
        <v>30</v>
      </c>
      <c r="AD99" s="10">
        <f t="shared" si="2"/>
        <v>96</v>
      </c>
      <c r="AE99" s="2">
        <v>175</v>
      </c>
      <c r="AF99" s="10">
        <f t="shared" si="3"/>
        <v>109</v>
      </c>
      <c r="AG99" s="2"/>
      <c r="AH99" s="2">
        <v>0</v>
      </c>
      <c r="AI99" s="9">
        <f t="shared" si="100"/>
        <v>265.5</v>
      </c>
      <c r="AJ99" s="10">
        <f t="shared" si="84"/>
        <v>0</v>
      </c>
      <c r="AK99" s="10">
        <f t="shared" si="6"/>
        <v>0</v>
      </c>
      <c r="AL99" s="9">
        <f t="shared" si="98"/>
        <v>265.5</v>
      </c>
      <c r="AM99" s="10">
        <f t="shared" si="85"/>
        <v>0</v>
      </c>
      <c r="AN99" s="10">
        <f t="shared" si="9"/>
        <v>0</v>
      </c>
      <c r="AO99" s="10">
        <f t="shared" si="10"/>
        <v>0</v>
      </c>
    </row>
    <row r="100" spans="1:41">
      <c r="A100" s="3">
        <v>70146</v>
      </c>
      <c r="B100" s="2" t="s">
        <v>185</v>
      </c>
      <c r="C100" s="3" t="s">
        <v>46</v>
      </c>
      <c r="D100" s="3" t="s">
        <v>46</v>
      </c>
      <c r="E100" s="3" t="s">
        <v>60</v>
      </c>
      <c r="F100" s="3" t="s">
        <v>61</v>
      </c>
      <c r="G100" s="3" t="s">
        <v>184</v>
      </c>
      <c r="H100" s="3"/>
      <c r="I100" s="3" t="s">
        <v>54</v>
      </c>
      <c r="J100" s="3" t="s">
        <v>115</v>
      </c>
      <c r="K100" s="4"/>
      <c r="L100" s="3"/>
      <c r="M100" s="4"/>
      <c r="N100" s="2">
        <v>5</v>
      </c>
      <c r="O100" s="5" t="s">
        <v>50</v>
      </c>
      <c r="P100" s="25">
        <v>596</v>
      </c>
      <c r="Q100" s="26">
        <f t="shared" si="0"/>
        <v>596</v>
      </c>
      <c r="R100" s="27">
        <v>1.5</v>
      </c>
      <c r="S100" s="2"/>
      <c r="T100" s="2">
        <v>51</v>
      </c>
      <c r="U100" s="2"/>
      <c r="V100" s="10">
        <v>49359</v>
      </c>
      <c r="W100" s="10">
        <v>49056</v>
      </c>
      <c r="X100" s="10">
        <v>54</v>
      </c>
      <c r="Y100" s="10">
        <v>54</v>
      </c>
      <c r="Z100" s="2">
        <f t="shared" ref="Z100:AC100" si="115">_xlfn.RANK.EQ(V100,V$4:V$200)</f>
        <v>94</v>
      </c>
      <c r="AA100" s="2">
        <f t="shared" si="115"/>
        <v>107</v>
      </c>
      <c r="AB100" s="2">
        <f t="shared" si="115"/>
        <v>57</v>
      </c>
      <c r="AC100" s="2">
        <f t="shared" si="115"/>
        <v>67</v>
      </c>
      <c r="AD100" s="10">
        <f t="shared" si="2"/>
        <v>54</v>
      </c>
      <c r="AE100" s="2">
        <v>244</v>
      </c>
      <c r="AF100" s="10">
        <f t="shared" si="3"/>
        <v>54</v>
      </c>
      <c r="AG100" s="2"/>
      <c r="AH100" s="2">
        <v>0</v>
      </c>
      <c r="AI100" s="9">
        <f t="shared" si="100"/>
        <v>132</v>
      </c>
      <c r="AJ100" s="10">
        <f t="shared" si="84"/>
        <v>0</v>
      </c>
      <c r="AK100" s="10">
        <f t="shared" si="6"/>
        <v>0</v>
      </c>
      <c r="AL100" s="9">
        <f t="shared" si="98"/>
        <v>132</v>
      </c>
      <c r="AM100" s="10">
        <f t="shared" si="85"/>
        <v>0</v>
      </c>
      <c r="AN100" s="10">
        <f t="shared" si="9"/>
        <v>0</v>
      </c>
      <c r="AO100" s="10">
        <f t="shared" si="10"/>
        <v>0</v>
      </c>
    </row>
    <row r="101" spans="1:41">
      <c r="A101" s="3">
        <v>70032</v>
      </c>
      <c r="B101" s="2" t="s">
        <v>186</v>
      </c>
      <c r="C101" s="3" t="s">
        <v>46</v>
      </c>
      <c r="D101" s="3" t="s">
        <v>46</v>
      </c>
      <c r="E101" s="3" t="s">
        <v>46</v>
      </c>
      <c r="F101" s="3"/>
      <c r="G101" s="3" t="s">
        <v>187</v>
      </c>
      <c r="H101" s="3"/>
      <c r="I101" s="3" t="s">
        <v>176</v>
      </c>
      <c r="J101" s="3" t="s">
        <v>49</v>
      </c>
      <c r="K101" s="4"/>
      <c r="L101" s="3" t="s">
        <v>55</v>
      </c>
      <c r="M101" s="4">
        <v>5000</v>
      </c>
      <c r="N101" s="2">
        <v>5</v>
      </c>
      <c r="O101" s="5" t="s">
        <v>55</v>
      </c>
      <c r="P101" s="25">
        <v>79.5</v>
      </c>
      <c r="Q101" s="26">
        <f t="shared" si="0"/>
        <v>2504.25</v>
      </c>
      <c r="R101" s="27">
        <v>1.5</v>
      </c>
      <c r="S101" s="2"/>
      <c r="T101" s="2">
        <v>51</v>
      </c>
      <c r="U101" s="2"/>
      <c r="V101" s="10">
        <v>17572</v>
      </c>
      <c r="W101" s="10">
        <v>17976</v>
      </c>
      <c r="X101" s="10">
        <v>4</v>
      </c>
      <c r="Y101" s="10">
        <v>4</v>
      </c>
      <c r="Z101" s="2">
        <f t="shared" ref="Z101:AC101" si="116">_xlfn.RANK.EQ(V101,V$4:V$200)</f>
        <v>146</v>
      </c>
      <c r="AA101" s="2">
        <f t="shared" si="116"/>
        <v>166</v>
      </c>
      <c r="AB101" s="2">
        <f t="shared" si="116"/>
        <v>167</v>
      </c>
      <c r="AC101" s="2">
        <f t="shared" si="116"/>
        <v>193</v>
      </c>
      <c r="AD101" s="10">
        <f t="shared" si="2"/>
        <v>4</v>
      </c>
      <c r="AE101" s="2">
        <v>164</v>
      </c>
      <c r="AF101" s="10">
        <f t="shared" si="3"/>
        <v>4</v>
      </c>
      <c r="AG101" s="2"/>
      <c r="AH101" s="2"/>
      <c r="AI101" s="9">
        <f t="shared" si="100"/>
        <v>57</v>
      </c>
      <c r="AJ101" s="10">
        <f t="shared" si="84"/>
        <v>0</v>
      </c>
      <c r="AK101" s="10">
        <f t="shared" si="6"/>
        <v>0</v>
      </c>
      <c r="AL101" s="9">
        <f t="shared" si="98"/>
        <v>57</v>
      </c>
      <c r="AM101" s="10">
        <f t="shared" si="85"/>
        <v>0</v>
      </c>
      <c r="AN101" s="10">
        <f t="shared" si="9"/>
        <v>0</v>
      </c>
      <c r="AO101" s="10">
        <f t="shared" si="10"/>
        <v>0</v>
      </c>
    </row>
    <row r="102" spans="1:41">
      <c r="A102" s="3">
        <v>70192</v>
      </c>
      <c r="B102" s="2" t="s">
        <v>188</v>
      </c>
      <c r="C102" s="3"/>
      <c r="D102" s="3" t="s">
        <v>46</v>
      </c>
      <c r="E102" s="3" t="s">
        <v>46</v>
      </c>
      <c r="F102" s="3" t="s">
        <v>61</v>
      </c>
      <c r="G102" s="3" t="s">
        <v>189</v>
      </c>
      <c r="H102" s="3"/>
      <c r="I102" s="3" t="s">
        <v>63</v>
      </c>
      <c r="J102" s="3" t="s">
        <v>115</v>
      </c>
      <c r="K102" s="4"/>
      <c r="L102" s="3"/>
      <c r="M102" s="4"/>
      <c r="N102" s="2">
        <v>5</v>
      </c>
      <c r="O102" s="5" t="s">
        <v>50</v>
      </c>
      <c r="P102" s="25">
        <v>381</v>
      </c>
      <c r="Q102" s="26">
        <f t="shared" si="0"/>
        <v>381</v>
      </c>
      <c r="R102" s="27">
        <v>1.5</v>
      </c>
      <c r="S102" s="2"/>
      <c r="T102" s="2">
        <v>51</v>
      </c>
      <c r="U102" s="2"/>
      <c r="V102" s="10">
        <v>12878</v>
      </c>
      <c r="W102" s="10">
        <v>16567</v>
      </c>
      <c r="X102" s="10">
        <v>20</v>
      </c>
      <c r="Y102" s="10">
        <v>26</v>
      </c>
      <c r="Z102" s="2">
        <f t="shared" ref="Z102:AC102" si="117">_xlfn.RANK.EQ(V102,V$4:V$200)</f>
        <v>155</v>
      </c>
      <c r="AA102" s="2">
        <f t="shared" si="117"/>
        <v>170</v>
      </c>
      <c r="AB102" s="2">
        <f t="shared" si="117"/>
        <v>115</v>
      </c>
      <c r="AC102" s="2">
        <f t="shared" si="117"/>
        <v>113</v>
      </c>
      <c r="AD102" s="10">
        <f t="shared" si="2"/>
        <v>23</v>
      </c>
      <c r="AE102" s="2">
        <v>276</v>
      </c>
      <c r="AF102" s="10">
        <f t="shared" si="3"/>
        <v>26</v>
      </c>
      <c r="AG102" s="2"/>
      <c r="AH102" s="2">
        <v>0</v>
      </c>
      <c r="AI102" s="9">
        <f t="shared" si="100"/>
        <v>90</v>
      </c>
      <c r="AJ102" s="10">
        <f t="shared" si="84"/>
        <v>0</v>
      </c>
      <c r="AK102" s="10">
        <f t="shared" si="6"/>
        <v>0</v>
      </c>
      <c r="AL102" s="9">
        <f t="shared" si="98"/>
        <v>90</v>
      </c>
      <c r="AM102" s="10">
        <f t="shared" si="85"/>
        <v>0</v>
      </c>
      <c r="AN102" s="10">
        <f t="shared" si="9"/>
        <v>0</v>
      </c>
      <c r="AO102" s="10">
        <f t="shared" si="10"/>
        <v>0</v>
      </c>
    </row>
    <row r="103" spans="1:41">
      <c r="A103" s="3">
        <v>40044</v>
      </c>
      <c r="B103" s="2" t="s">
        <v>190</v>
      </c>
      <c r="C103" s="3" t="s">
        <v>46</v>
      </c>
      <c r="D103" s="3" t="s">
        <v>46</v>
      </c>
      <c r="E103" s="3" t="s">
        <v>46</v>
      </c>
      <c r="F103" s="3"/>
      <c r="G103" s="3" t="s">
        <v>191</v>
      </c>
      <c r="H103" s="3"/>
      <c r="I103" s="3" t="s">
        <v>54</v>
      </c>
      <c r="J103" s="3" t="s">
        <v>49</v>
      </c>
      <c r="K103" s="4"/>
      <c r="L103" s="3"/>
      <c r="M103" s="4"/>
      <c r="N103" s="2">
        <v>5</v>
      </c>
      <c r="O103" s="5" t="s">
        <v>55</v>
      </c>
      <c r="P103" s="25">
        <v>71.400000000000006</v>
      </c>
      <c r="Q103" s="26">
        <f t="shared" si="0"/>
        <v>2249.1000000000004</v>
      </c>
      <c r="R103" s="27">
        <v>4</v>
      </c>
      <c r="S103" s="2"/>
      <c r="T103" s="2">
        <v>51</v>
      </c>
      <c r="U103" s="2"/>
      <c r="V103" s="10">
        <v>141804</v>
      </c>
      <c r="W103" s="10">
        <v>195027</v>
      </c>
      <c r="X103" s="10">
        <v>27</v>
      </c>
      <c r="Y103" s="10">
        <v>37</v>
      </c>
      <c r="Z103" s="2">
        <f t="shared" ref="Z103:AC103" si="118">_xlfn.RANK.EQ(V103,V$4:V$200)</f>
        <v>17</v>
      </c>
      <c r="AA103" s="2">
        <f t="shared" si="118"/>
        <v>12</v>
      </c>
      <c r="AB103" s="2">
        <f t="shared" si="118"/>
        <v>100</v>
      </c>
      <c r="AC103" s="2">
        <f t="shared" si="118"/>
        <v>95</v>
      </c>
      <c r="AD103" s="10">
        <f t="shared" si="2"/>
        <v>32</v>
      </c>
      <c r="AE103" s="2">
        <v>124</v>
      </c>
      <c r="AF103" s="10">
        <f t="shared" si="3"/>
        <v>37</v>
      </c>
      <c r="AG103" s="2"/>
      <c r="AH103" s="2">
        <v>35</v>
      </c>
      <c r="AI103" s="9">
        <f t="shared" si="100"/>
        <v>106.5</v>
      </c>
      <c r="AJ103" s="10">
        <f t="shared" si="84"/>
        <v>0</v>
      </c>
      <c r="AK103" s="10">
        <f t="shared" si="6"/>
        <v>0</v>
      </c>
      <c r="AL103" s="9">
        <f t="shared" si="98"/>
        <v>199</v>
      </c>
      <c r="AM103" s="10">
        <f t="shared" si="85"/>
        <v>80</v>
      </c>
      <c r="AN103" s="10">
        <f t="shared" si="9"/>
        <v>179928.00000000003</v>
      </c>
      <c r="AO103" s="10">
        <f t="shared" si="10"/>
        <v>80</v>
      </c>
    </row>
    <row r="104" spans="1:41">
      <c r="A104" s="3">
        <v>40025</v>
      </c>
      <c r="B104" s="2" t="s">
        <v>192</v>
      </c>
      <c r="C104" s="3" t="s">
        <v>46</v>
      </c>
      <c r="D104" s="3" t="s">
        <v>46</v>
      </c>
      <c r="E104" s="3" t="s">
        <v>46</v>
      </c>
      <c r="F104" s="3"/>
      <c r="G104" s="3" t="s">
        <v>191</v>
      </c>
      <c r="H104" s="3"/>
      <c r="I104" s="3" t="s">
        <v>54</v>
      </c>
      <c r="J104" s="3" t="s">
        <v>49</v>
      </c>
      <c r="K104" s="4"/>
      <c r="L104" s="3"/>
      <c r="M104" s="4"/>
      <c r="N104" s="2">
        <v>5</v>
      </c>
      <c r="O104" s="5" t="s">
        <v>55</v>
      </c>
      <c r="P104" s="25">
        <v>143.5</v>
      </c>
      <c r="Q104" s="26">
        <f t="shared" si="0"/>
        <v>4520.25</v>
      </c>
      <c r="R104" s="27">
        <v>4</v>
      </c>
      <c r="S104" s="2"/>
      <c r="T104" s="2">
        <v>51</v>
      </c>
      <c r="U104" s="2"/>
      <c r="V104" s="10">
        <v>52630</v>
      </c>
      <c r="W104" s="10">
        <v>105260</v>
      </c>
      <c r="X104" s="10">
        <v>5</v>
      </c>
      <c r="Y104" s="10">
        <v>10</v>
      </c>
      <c r="Z104" s="2">
        <f t="shared" ref="Z104:AC104" si="119">_xlfn.RANK.EQ(V104,V$4:V$200)</f>
        <v>87</v>
      </c>
      <c r="AA104" s="2">
        <f t="shared" si="119"/>
        <v>47</v>
      </c>
      <c r="AB104" s="2">
        <f t="shared" si="119"/>
        <v>165</v>
      </c>
      <c r="AC104" s="2">
        <f t="shared" si="119"/>
        <v>170</v>
      </c>
      <c r="AD104" s="10">
        <f t="shared" si="2"/>
        <v>7.5</v>
      </c>
      <c r="AE104" s="2">
        <v>143</v>
      </c>
      <c r="AF104" s="10">
        <f t="shared" si="3"/>
        <v>10</v>
      </c>
      <c r="AG104" s="2"/>
      <c r="AH104" s="2"/>
      <c r="AI104" s="9">
        <f t="shared" si="100"/>
        <v>66</v>
      </c>
      <c r="AJ104" s="10">
        <f t="shared" si="84"/>
        <v>0</v>
      </c>
      <c r="AK104" s="10">
        <f t="shared" si="6"/>
        <v>0</v>
      </c>
      <c r="AL104" s="9">
        <f t="shared" si="98"/>
        <v>91</v>
      </c>
      <c r="AM104" s="10">
        <f t="shared" si="85"/>
        <v>0</v>
      </c>
      <c r="AN104" s="10">
        <f t="shared" si="9"/>
        <v>0</v>
      </c>
      <c r="AO104" s="10">
        <f t="shared" si="10"/>
        <v>0</v>
      </c>
    </row>
    <row r="105" spans="1:41">
      <c r="A105" s="3">
        <v>40018</v>
      </c>
      <c r="B105" s="2" t="s">
        <v>193</v>
      </c>
      <c r="C105" s="3" t="s">
        <v>46</v>
      </c>
      <c r="D105" s="3" t="s">
        <v>46</v>
      </c>
      <c r="E105" s="3" t="s">
        <v>46</v>
      </c>
      <c r="F105" s="3"/>
      <c r="G105" s="3" t="s">
        <v>191</v>
      </c>
      <c r="H105" s="3"/>
      <c r="I105" s="3" t="s">
        <v>54</v>
      </c>
      <c r="J105" s="3" t="s">
        <v>49</v>
      </c>
      <c r="K105" s="4"/>
      <c r="L105" s="3"/>
      <c r="M105" s="4"/>
      <c r="N105" s="2">
        <v>5</v>
      </c>
      <c r="O105" s="5" t="s">
        <v>55</v>
      </c>
      <c r="P105" s="25">
        <v>191.07</v>
      </c>
      <c r="Q105" s="26">
        <f t="shared" si="0"/>
        <v>6018.7049999999999</v>
      </c>
      <c r="R105" s="27">
        <v>4</v>
      </c>
      <c r="S105" s="2"/>
      <c r="T105" s="2">
        <v>102</v>
      </c>
      <c r="U105" s="2"/>
      <c r="V105" s="10">
        <v>127224</v>
      </c>
      <c r="W105" s="10">
        <v>141360</v>
      </c>
      <c r="X105" s="10">
        <v>9</v>
      </c>
      <c r="Y105" s="10">
        <v>10</v>
      </c>
      <c r="Z105" s="2">
        <f t="shared" ref="Z105:AC105" si="120">_xlfn.RANK.EQ(V105,V$4:V$200)</f>
        <v>23</v>
      </c>
      <c r="AA105" s="2">
        <f t="shared" si="120"/>
        <v>27</v>
      </c>
      <c r="AB105" s="2">
        <f t="shared" si="120"/>
        <v>150</v>
      </c>
      <c r="AC105" s="2">
        <f t="shared" si="120"/>
        <v>170</v>
      </c>
      <c r="AD105" s="10">
        <f t="shared" si="2"/>
        <v>9.5</v>
      </c>
      <c r="AE105" s="2">
        <v>239</v>
      </c>
      <c r="AF105" s="10">
        <f t="shared" si="3"/>
        <v>10</v>
      </c>
      <c r="AG105" s="2"/>
      <c r="AH105" s="2"/>
      <c r="AI105" s="9">
        <f t="shared" si="100"/>
        <v>117</v>
      </c>
      <c r="AJ105" s="10">
        <f t="shared" si="84"/>
        <v>0</v>
      </c>
      <c r="AK105" s="10">
        <f t="shared" si="6"/>
        <v>0</v>
      </c>
      <c r="AL105" s="9">
        <f t="shared" si="98"/>
        <v>142</v>
      </c>
      <c r="AM105" s="10">
        <f t="shared" si="85"/>
        <v>0</v>
      </c>
      <c r="AN105" s="10">
        <f t="shared" si="9"/>
        <v>0</v>
      </c>
      <c r="AO105" s="10">
        <f t="shared" si="10"/>
        <v>0</v>
      </c>
    </row>
    <row r="106" spans="1:41">
      <c r="A106" s="3">
        <v>40033</v>
      </c>
      <c r="B106" s="2" t="s">
        <v>194</v>
      </c>
      <c r="C106" s="3" t="s">
        <v>46</v>
      </c>
      <c r="D106" s="3" t="s">
        <v>46</v>
      </c>
      <c r="E106" s="3" t="s">
        <v>46</v>
      </c>
      <c r="F106" s="3"/>
      <c r="G106" s="3" t="s">
        <v>191</v>
      </c>
      <c r="H106" s="3"/>
      <c r="I106" s="3" t="s">
        <v>54</v>
      </c>
      <c r="J106" s="3" t="s">
        <v>49</v>
      </c>
      <c r="K106" s="4"/>
      <c r="L106" s="3"/>
      <c r="M106" s="4"/>
      <c r="N106" s="2">
        <v>5</v>
      </c>
      <c r="O106" s="5" t="s">
        <v>55</v>
      </c>
      <c r="P106" s="25">
        <v>87.75</v>
      </c>
      <c r="Q106" s="26">
        <f t="shared" si="0"/>
        <v>2764.125</v>
      </c>
      <c r="R106" s="27">
        <v>4</v>
      </c>
      <c r="S106" s="2"/>
      <c r="T106" s="2">
        <v>102</v>
      </c>
      <c r="U106" s="2"/>
      <c r="V106" s="10">
        <v>56868</v>
      </c>
      <c r="W106" s="10">
        <v>70479</v>
      </c>
      <c r="X106" s="10">
        <v>9</v>
      </c>
      <c r="Y106" s="10">
        <v>11</v>
      </c>
      <c r="Z106" s="2">
        <f t="shared" ref="Z106:AC106" si="121">_xlfn.RANK.EQ(V106,V$4:V$200)</f>
        <v>82</v>
      </c>
      <c r="AA106" s="2">
        <f t="shared" si="121"/>
        <v>77</v>
      </c>
      <c r="AB106" s="2">
        <f t="shared" si="121"/>
        <v>150</v>
      </c>
      <c r="AC106" s="2">
        <f t="shared" si="121"/>
        <v>166</v>
      </c>
      <c r="AD106" s="10">
        <f t="shared" si="2"/>
        <v>10</v>
      </c>
      <c r="AE106" s="2">
        <v>209</v>
      </c>
      <c r="AF106" s="10">
        <f t="shared" si="3"/>
        <v>11</v>
      </c>
      <c r="AG106" s="2">
        <v>16</v>
      </c>
      <c r="AH106" s="2"/>
      <c r="AI106" s="9">
        <f t="shared" si="100"/>
        <v>118.5</v>
      </c>
      <c r="AJ106" s="10">
        <f t="shared" si="84"/>
        <v>0</v>
      </c>
      <c r="AK106" s="10">
        <f t="shared" si="6"/>
        <v>0</v>
      </c>
      <c r="AL106" s="9">
        <f t="shared" si="98"/>
        <v>146</v>
      </c>
      <c r="AM106" s="10">
        <f t="shared" si="85"/>
        <v>0</v>
      </c>
      <c r="AN106" s="10">
        <f t="shared" si="9"/>
        <v>0</v>
      </c>
      <c r="AO106" s="10">
        <f t="shared" si="10"/>
        <v>0</v>
      </c>
    </row>
    <row r="107" spans="1:41">
      <c r="A107" s="3">
        <v>40051</v>
      </c>
      <c r="B107" s="2" t="s">
        <v>195</v>
      </c>
      <c r="C107" s="3"/>
      <c r="D107" s="3" t="s">
        <v>46</v>
      </c>
      <c r="E107" s="3" t="s">
        <v>46</v>
      </c>
      <c r="F107" s="3"/>
      <c r="G107" s="3" t="s">
        <v>75</v>
      </c>
      <c r="H107" s="3"/>
      <c r="I107" s="3" t="s">
        <v>48</v>
      </c>
      <c r="J107" s="3" t="s">
        <v>49</v>
      </c>
      <c r="K107" s="4">
        <v>30</v>
      </c>
      <c r="L107" s="3"/>
      <c r="M107" s="4"/>
      <c r="N107" s="2">
        <v>5</v>
      </c>
      <c r="O107" s="5" t="s">
        <v>55</v>
      </c>
      <c r="P107" s="25">
        <v>78.45</v>
      </c>
      <c r="Q107" s="26">
        <f t="shared" si="0"/>
        <v>2471.1750000000002</v>
      </c>
      <c r="R107" s="27">
        <v>2</v>
      </c>
      <c r="S107" s="2"/>
      <c r="T107" s="2">
        <v>51</v>
      </c>
      <c r="U107" s="2"/>
      <c r="V107" s="10">
        <v>57694</v>
      </c>
      <c r="W107" s="10">
        <v>48960</v>
      </c>
      <c r="X107" s="10">
        <v>15</v>
      </c>
      <c r="Y107" s="10">
        <v>13</v>
      </c>
      <c r="Z107" s="2">
        <f t="shared" ref="Z107:AC107" si="122">_xlfn.RANK.EQ(V107,V$4:V$200)</f>
        <v>77</v>
      </c>
      <c r="AA107" s="2">
        <f t="shared" si="122"/>
        <v>108</v>
      </c>
      <c r="AB107" s="2">
        <f t="shared" si="122"/>
        <v>126</v>
      </c>
      <c r="AC107" s="2">
        <f t="shared" si="122"/>
        <v>157</v>
      </c>
      <c r="AD107" s="10">
        <f t="shared" si="2"/>
        <v>14</v>
      </c>
      <c r="AE107" s="2">
        <v>85</v>
      </c>
      <c r="AF107" s="10">
        <f t="shared" si="3"/>
        <v>13</v>
      </c>
      <c r="AG107" s="2"/>
      <c r="AH107" s="2"/>
      <c r="AI107" s="9">
        <f t="shared" si="100"/>
        <v>72</v>
      </c>
      <c r="AJ107" s="10">
        <f t="shared" si="84"/>
        <v>0</v>
      </c>
      <c r="AK107" s="10">
        <f t="shared" si="6"/>
        <v>0</v>
      </c>
      <c r="AL107" s="9">
        <f t="shared" si="98"/>
        <v>79</v>
      </c>
      <c r="AM107" s="10">
        <f t="shared" si="85"/>
        <v>10</v>
      </c>
      <c r="AN107" s="10">
        <f t="shared" si="9"/>
        <v>24711.75</v>
      </c>
      <c r="AO107" s="10">
        <f t="shared" si="10"/>
        <v>10</v>
      </c>
    </row>
    <row r="108" spans="1:41">
      <c r="A108" s="3">
        <v>40046</v>
      </c>
      <c r="B108" s="2" t="s">
        <v>196</v>
      </c>
      <c r="C108" s="3" t="s">
        <v>46</v>
      </c>
      <c r="D108" s="3" t="s">
        <v>46</v>
      </c>
      <c r="E108" s="3" t="s">
        <v>60</v>
      </c>
      <c r="F108" s="3" t="s">
        <v>61</v>
      </c>
      <c r="G108" s="3" t="s">
        <v>75</v>
      </c>
      <c r="H108" s="3"/>
      <c r="I108" s="3" t="s">
        <v>48</v>
      </c>
      <c r="J108" s="3" t="s">
        <v>49</v>
      </c>
      <c r="K108" s="4"/>
      <c r="L108" s="3"/>
      <c r="M108" s="4"/>
      <c r="N108" s="2">
        <v>5</v>
      </c>
      <c r="O108" s="5" t="s">
        <v>55</v>
      </c>
      <c r="P108" s="25">
        <v>58.08</v>
      </c>
      <c r="Q108" s="26">
        <f t="shared" si="0"/>
        <v>1829.52</v>
      </c>
      <c r="R108" s="27">
        <v>2</v>
      </c>
      <c r="S108" s="2"/>
      <c r="T108" s="2">
        <v>51</v>
      </c>
      <c r="U108" s="2"/>
      <c r="V108" s="10">
        <v>32516</v>
      </c>
      <c r="W108" s="10">
        <v>29412</v>
      </c>
      <c r="X108" s="10">
        <v>11</v>
      </c>
      <c r="Y108" s="10">
        <v>10</v>
      </c>
      <c r="Z108" s="2">
        <f t="shared" ref="Z108:AC108" si="123">_xlfn.RANK.EQ(V108,V$4:V$200)</f>
        <v>115</v>
      </c>
      <c r="AA108" s="2">
        <f t="shared" si="123"/>
        <v>141</v>
      </c>
      <c r="AB108" s="2">
        <f t="shared" si="123"/>
        <v>144</v>
      </c>
      <c r="AC108" s="2">
        <f t="shared" si="123"/>
        <v>170</v>
      </c>
      <c r="AD108" s="10">
        <f t="shared" si="2"/>
        <v>10.5</v>
      </c>
      <c r="AE108" s="2">
        <v>96</v>
      </c>
      <c r="AF108" s="10">
        <f t="shared" si="3"/>
        <v>10</v>
      </c>
      <c r="AG108" s="2"/>
      <c r="AH108" s="2"/>
      <c r="AI108" s="9">
        <f t="shared" si="100"/>
        <v>66.75</v>
      </c>
      <c r="AJ108" s="10">
        <f t="shared" si="84"/>
        <v>0</v>
      </c>
      <c r="AK108" s="10">
        <f t="shared" si="6"/>
        <v>0</v>
      </c>
      <c r="AL108" s="9">
        <f t="shared" si="98"/>
        <v>72</v>
      </c>
      <c r="AM108" s="10">
        <f t="shared" si="85"/>
        <v>0</v>
      </c>
      <c r="AN108" s="10">
        <f t="shared" si="9"/>
        <v>0</v>
      </c>
      <c r="AO108" s="10">
        <f t="shared" si="10"/>
        <v>0</v>
      </c>
    </row>
    <row r="109" spans="1:41">
      <c r="A109" s="3">
        <v>40049</v>
      </c>
      <c r="B109" s="2" t="s">
        <v>197</v>
      </c>
      <c r="C109" s="3"/>
      <c r="D109" s="3" t="s">
        <v>46</v>
      </c>
      <c r="E109" s="3" t="s">
        <v>46</v>
      </c>
      <c r="F109" s="3"/>
      <c r="G109" s="3" t="s">
        <v>75</v>
      </c>
      <c r="H109" s="3"/>
      <c r="I109" s="3" t="s">
        <v>48</v>
      </c>
      <c r="J109" s="3" t="s">
        <v>49</v>
      </c>
      <c r="K109" s="4"/>
      <c r="L109" s="3"/>
      <c r="M109" s="4"/>
      <c r="N109" s="2">
        <v>5</v>
      </c>
      <c r="O109" s="5" t="s">
        <v>55</v>
      </c>
      <c r="P109" s="25">
        <v>82.68</v>
      </c>
      <c r="Q109" s="26">
        <f t="shared" si="0"/>
        <v>2604.42</v>
      </c>
      <c r="R109" s="27">
        <v>2</v>
      </c>
      <c r="S109" s="2"/>
      <c r="T109" s="2">
        <v>51</v>
      </c>
      <c r="U109" s="2"/>
      <c r="V109" s="10">
        <v>99102</v>
      </c>
      <c r="W109" s="10">
        <v>76190</v>
      </c>
      <c r="X109" s="10">
        <v>26</v>
      </c>
      <c r="Y109" s="10">
        <v>20</v>
      </c>
      <c r="Z109" s="2">
        <f t="shared" ref="Z109:AC109" si="124">_xlfn.RANK.EQ(V109,V$4:V$200)</f>
        <v>41</v>
      </c>
      <c r="AA109" s="2">
        <f t="shared" si="124"/>
        <v>71</v>
      </c>
      <c r="AB109" s="2">
        <f t="shared" si="124"/>
        <v>102</v>
      </c>
      <c r="AC109" s="2">
        <f t="shared" si="124"/>
        <v>131</v>
      </c>
      <c r="AD109" s="10">
        <f t="shared" si="2"/>
        <v>23</v>
      </c>
      <c r="AE109" s="2">
        <v>94</v>
      </c>
      <c r="AF109" s="10">
        <f t="shared" si="3"/>
        <v>20</v>
      </c>
      <c r="AG109" s="2"/>
      <c r="AH109" s="2"/>
      <c r="AI109" s="9">
        <f t="shared" si="100"/>
        <v>85.5</v>
      </c>
      <c r="AJ109" s="10">
        <f t="shared" si="84"/>
        <v>15</v>
      </c>
      <c r="AK109" s="10">
        <f t="shared" si="6"/>
        <v>39066.300000000003</v>
      </c>
      <c r="AL109" s="9">
        <f t="shared" si="98"/>
        <v>97</v>
      </c>
      <c r="AM109" s="10">
        <f t="shared" si="85"/>
        <v>25</v>
      </c>
      <c r="AN109" s="10">
        <f t="shared" si="9"/>
        <v>65110.5</v>
      </c>
      <c r="AO109" s="10">
        <f t="shared" si="10"/>
        <v>10</v>
      </c>
    </row>
    <row r="110" spans="1:41">
      <c r="A110" s="3">
        <v>40047</v>
      </c>
      <c r="B110" s="2" t="s">
        <v>198</v>
      </c>
      <c r="C110" s="3"/>
      <c r="D110" s="3" t="s">
        <v>46</v>
      </c>
      <c r="E110" s="3" t="s">
        <v>46</v>
      </c>
      <c r="F110" s="3"/>
      <c r="G110" s="3" t="s">
        <v>75</v>
      </c>
      <c r="H110" s="3"/>
      <c r="I110" s="3" t="s">
        <v>48</v>
      </c>
      <c r="J110" s="3" t="s">
        <v>49</v>
      </c>
      <c r="K110" s="4">
        <v>30</v>
      </c>
      <c r="L110" s="3"/>
      <c r="M110" s="4"/>
      <c r="N110" s="2">
        <v>5</v>
      </c>
      <c r="O110" s="5" t="s">
        <v>55</v>
      </c>
      <c r="P110" s="25">
        <v>47.68</v>
      </c>
      <c r="Q110" s="26">
        <f t="shared" si="0"/>
        <v>1501.92</v>
      </c>
      <c r="R110" s="27">
        <v>2</v>
      </c>
      <c r="S110" s="2"/>
      <c r="T110" s="2">
        <v>51</v>
      </c>
      <c r="U110" s="2"/>
      <c r="V110" s="10">
        <v>22876</v>
      </c>
      <c r="W110" s="10">
        <v>26746</v>
      </c>
      <c r="X110" s="10">
        <v>7</v>
      </c>
      <c r="Y110" s="10">
        <v>8</v>
      </c>
      <c r="Z110" s="2">
        <f t="shared" ref="Z110:AC110" si="125">_xlfn.RANK.EQ(V110,V$4:V$200)</f>
        <v>134</v>
      </c>
      <c r="AA110" s="2">
        <f t="shared" si="125"/>
        <v>153</v>
      </c>
      <c r="AB110" s="2">
        <f t="shared" si="125"/>
        <v>157</v>
      </c>
      <c r="AC110" s="2">
        <f t="shared" si="125"/>
        <v>182</v>
      </c>
      <c r="AD110" s="10">
        <f t="shared" si="2"/>
        <v>7.5</v>
      </c>
      <c r="AE110" s="2">
        <v>93</v>
      </c>
      <c r="AF110" s="10">
        <f t="shared" si="3"/>
        <v>8</v>
      </c>
      <c r="AG110" s="2"/>
      <c r="AH110" s="2"/>
      <c r="AI110" s="9">
        <f t="shared" si="100"/>
        <v>63</v>
      </c>
      <c r="AJ110" s="10">
        <f t="shared" si="84"/>
        <v>0</v>
      </c>
      <c r="AK110" s="10">
        <f t="shared" si="6"/>
        <v>0</v>
      </c>
      <c r="AL110" s="9">
        <f t="shared" si="98"/>
        <v>67</v>
      </c>
      <c r="AM110" s="10">
        <f t="shared" si="85"/>
        <v>0</v>
      </c>
      <c r="AN110" s="10">
        <f t="shared" si="9"/>
        <v>0</v>
      </c>
      <c r="AO110" s="10">
        <f t="shared" si="10"/>
        <v>0</v>
      </c>
    </row>
    <row r="111" spans="1:41">
      <c r="A111" s="3">
        <v>40030</v>
      </c>
      <c r="B111" s="2" t="s">
        <v>199</v>
      </c>
      <c r="C111" s="3"/>
      <c r="D111" s="3" t="s">
        <v>46</v>
      </c>
      <c r="E111" s="3" t="s">
        <v>46</v>
      </c>
      <c r="F111" s="3"/>
      <c r="G111" s="3" t="s">
        <v>200</v>
      </c>
      <c r="H111" s="3"/>
      <c r="I111" s="3" t="s">
        <v>48</v>
      </c>
      <c r="J111" s="3" t="s">
        <v>49</v>
      </c>
      <c r="K111" s="4"/>
      <c r="L111" s="3"/>
      <c r="M111" s="4"/>
      <c r="N111" s="2">
        <v>5</v>
      </c>
      <c r="O111" s="5" t="s">
        <v>55</v>
      </c>
      <c r="P111" s="25">
        <v>22.75</v>
      </c>
      <c r="Q111" s="26">
        <f t="shared" si="0"/>
        <v>716.625</v>
      </c>
      <c r="R111" s="27">
        <v>2</v>
      </c>
      <c r="S111" s="2"/>
      <c r="T111" s="2">
        <v>51</v>
      </c>
      <c r="U111" s="2"/>
      <c r="V111" s="10">
        <v>62656</v>
      </c>
      <c r="W111" s="10">
        <v>75812</v>
      </c>
      <c r="X111" s="10">
        <v>39</v>
      </c>
      <c r="Y111" s="10">
        <v>47</v>
      </c>
      <c r="Z111" s="2">
        <f t="shared" ref="Z111:AC111" si="126">_xlfn.RANK.EQ(V111,V$4:V$200)</f>
        <v>69</v>
      </c>
      <c r="AA111" s="2">
        <f t="shared" si="126"/>
        <v>72</v>
      </c>
      <c r="AB111" s="2">
        <f t="shared" si="126"/>
        <v>78</v>
      </c>
      <c r="AC111" s="2">
        <f t="shared" si="126"/>
        <v>77</v>
      </c>
      <c r="AD111" s="10">
        <f t="shared" si="2"/>
        <v>43</v>
      </c>
      <c r="AE111" s="2">
        <v>248</v>
      </c>
      <c r="AF111" s="10">
        <f t="shared" si="3"/>
        <v>47</v>
      </c>
      <c r="AG111" s="2"/>
      <c r="AH111" s="2"/>
      <c r="AI111" s="9">
        <f t="shared" si="100"/>
        <v>121.5</v>
      </c>
      <c r="AJ111" s="10">
        <f t="shared" si="84"/>
        <v>0</v>
      </c>
      <c r="AK111" s="10">
        <f t="shared" si="6"/>
        <v>0</v>
      </c>
      <c r="AL111" s="9">
        <f t="shared" si="98"/>
        <v>145</v>
      </c>
      <c r="AM111" s="10">
        <f t="shared" si="85"/>
        <v>0</v>
      </c>
      <c r="AN111" s="10">
        <f t="shared" si="9"/>
        <v>0</v>
      </c>
      <c r="AO111" s="10">
        <f t="shared" si="10"/>
        <v>0</v>
      </c>
    </row>
    <row r="112" spans="1:41">
      <c r="A112" s="3">
        <v>30080</v>
      </c>
      <c r="B112" s="2" t="s">
        <v>201</v>
      </c>
      <c r="C112" s="3"/>
      <c r="D112" s="3" t="s">
        <v>46</v>
      </c>
      <c r="E112" s="3" t="s">
        <v>46</v>
      </c>
      <c r="F112" s="3"/>
      <c r="G112" s="3" t="s">
        <v>202</v>
      </c>
      <c r="H112" s="3"/>
      <c r="I112" s="3" t="s">
        <v>48</v>
      </c>
      <c r="J112" s="3" t="s">
        <v>49</v>
      </c>
      <c r="K112" s="4"/>
      <c r="L112" s="3"/>
      <c r="M112" s="4"/>
      <c r="N112" s="2">
        <v>5</v>
      </c>
      <c r="O112" s="5" t="s">
        <v>50</v>
      </c>
      <c r="P112" s="33">
        <v>4442</v>
      </c>
      <c r="Q112" s="26">
        <f t="shared" si="0"/>
        <v>4442</v>
      </c>
      <c r="R112" s="27">
        <v>3.5</v>
      </c>
      <c r="S112" s="2"/>
      <c r="T112" s="2">
        <v>51</v>
      </c>
      <c r="U112" s="2"/>
      <c r="V112" s="10">
        <v>100548</v>
      </c>
      <c r="W112" s="10">
        <v>157645</v>
      </c>
      <c r="X112" s="10">
        <v>14</v>
      </c>
      <c r="Y112" s="10">
        <v>22</v>
      </c>
      <c r="Z112" s="2">
        <f t="shared" ref="Z112:AC112" si="127">_xlfn.RANK.EQ(V112,V$4:V$200)</f>
        <v>40</v>
      </c>
      <c r="AA112" s="2">
        <f t="shared" si="127"/>
        <v>19</v>
      </c>
      <c r="AB112" s="2">
        <f t="shared" si="127"/>
        <v>132</v>
      </c>
      <c r="AC112" s="2">
        <f t="shared" si="127"/>
        <v>124</v>
      </c>
      <c r="AD112" s="10">
        <f t="shared" si="2"/>
        <v>18</v>
      </c>
      <c r="AE112" s="2">
        <v>111</v>
      </c>
      <c r="AF112" s="10">
        <f t="shared" si="3"/>
        <v>22</v>
      </c>
      <c r="AG112" s="2"/>
      <c r="AH112" s="2"/>
      <c r="AI112" s="9">
        <f t="shared" si="100"/>
        <v>84</v>
      </c>
      <c r="AJ112" s="10">
        <f t="shared" si="84"/>
        <v>0</v>
      </c>
      <c r="AK112" s="10">
        <f t="shared" si="6"/>
        <v>0</v>
      </c>
      <c r="AL112" s="9">
        <f t="shared" si="98"/>
        <v>128</v>
      </c>
      <c r="AM112" s="10">
        <f t="shared" si="85"/>
        <v>40</v>
      </c>
      <c r="AN112" s="10">
        <f t="shared" si="9"/>
        <v>177680</v>
      </c>
      <c r="AO112" s="10">
        <f t="shared" si="10"/>
        <v>40</v>
      </c>
    </row>
    <row r="113" spans="1:41">
      <c r="A113" s="3">
        <v>30078</v>
      </c>
      <c r="B113" s="2" t="s">
        <v>203</v>
      </c>
      <c r="C113" s="3"/>
      <c r="D113" s="3" t="s">
        <v>46</v>
      </c>
      <c r="E113" s="3" t="s">
        <v>46</v>
      </c>
      <c r="F113" s="3"/>
      <c r="G113" s="3" t="s">
        <v>202</v>
      </c>
      <c r="H113" s="3"/>
      <c r="I113" s="3" t="s">
        <v>48</v>
      </c>
      <c r="J113" s="3" t="s">
        <v>49</v>
      </c>
      <c r="K113" s="4"/>
      <c r="L113" s="3"/>
      <c r="M113" s="4"/>
      <c r="N113" s="2">
        <v>5</v>
      </c>
      <c r="O113" s="5" t="s">
        <v>50</v>
      </c>
      <c r="P113" s="33">
        <v>4907</v>
      </c>
      <c r="Q113" s="26">
        <f t="shared" si="0"/>
        <v>4907</v>
      </c>
      <c r="R113" s="27">
        <v>3.5</v>
      </c>
      <c r="S113" s="2"/>
      <c r="T113" s="2">
        <v>51</v>
      </c>
      <c r="U113" s="2"/>
      <c r="V113" s="10">
        <v>95939</v>
      </c>
      <c r="W113" s="10">
        <v>136340</v>
      </c>
      <c r="X113" s="10">
        <v>12</v>
      </c>
      <c r="Y113" s="10">
        <v>17</v>
      </c>
      <c r="Z113" s="2">
        <f t="shared" ref="Z113:AC113" si="128">_xlfn.RANK.EQ(V113,V$4:V$200)</f>
        <v>44</v>
      </c>
      <c r="AA113" s="2">
        <f t="shared" si="128"/>
        <v>30</v>
      </c>
      <c r="AB113" s="2">
        <f t="shared" si="128"/>
        <v>140</v>
      </c>
      <c r="AC113" s="2">
        <f t="shared" si="128"/>
        <v>144</v>
      </c>
      <c r="AD113" s="10">
        <f t="shared" si="2"/>
        <v>14.5</v>
      </c>
      <c r="AE113" s="2">
        <v>89</v>
      </c>
      <c r="AF113" s="10">
        <f t="shared" si="3"/>
        <v>17</v>
      </c>
      <c r="AG113" s="2">
        <v>50</v>
      </c>
      <c r="AH113" s="2"/>
      <c r="AI113" s="9">
        <f t="shared" si="100"/>
        <v>76.5</v>
      </c>
      <c r="AJ113" s="10">
        <f t="shared" si="84"/>
        <v>0</v>
      </c>
      <c r="AK113" s="10">
        <f t="shared" si="6"/>
        <v>0</v>
      </c>
      <c r="AL113" s="9">
        <f t="shared" si="98"/>
        <v>110.5</v>
      </c>
      <c r="AM113" s="10">
        <f t="shared" si="85"/>
        <v>0</v>
      </c>
      <c r="AN113" s="10">
        <f t="shared" si="9"/>
        <v>0</v>
      </c>
      <c r="AO113" s="10">
        <f t="shared" si="10"/>
        <v>0</v>
      </c>
    </row>
    <row r="114" spans="1:41">
      <c r="A114" s="3">
        <v>30079</v>
      </c>
      <c r="B114" s="2" t="s">
        <v>204</v>
      </c>
      <c r="C114" s="3"/>
      <c r="D114" s="3" t="s">
        <v>46</v>
      </c>
      <c r="E114" s="3" t="s">
        <v>46</v>
      </c>
      <c r="F114" s="3"/>
      <c r="G114" s="3" t="s">
        <v>202</v>
      </c>
      <c r="H114" s="3"/>
      <c r="I114" s="3" t="s">
        <v>48</v>
      </c>
      <c r="J114" s="3" t="s">
        <v>49</v>
      </c>
      <c r="K114" s="4"/>
      <c r="L114" s="3"/>
      <c r="M114" s="4"/>
      <c r="N114" s="2">
        <v>5</v>
      </c>
      <c r="O114" s="5" t="s">
        <v>50</v>
      </c>
      <c r="P114" s="33">
        <v>4188</v>
      </c>
      <c r="Q114" s="26">
        <f t="shared" si="0"/>
        <v>4188</v>
      </c>
      <c r="R114" s="27">
        <v>3.5</v>
      </c>
      <c r="S114" s="2"/>
      <c r="T114" s="2">
        <v>51</v>
      </c>
      <c r="U114" s="2"/>
      <c r="V114" s="10">
        <v>40632</v>
      </c>
      <c r="W114" s="10">
        <v>67381</v>
      </c>
      <c r="X114" s="10">
        <v>6</v>
      </c>
      <c r="Y114" s="10">
        <v>10</v>
      </c>
      <c r="Z114" s="2">
        <f t="shared" ref="Z114:AC114" si="129">_xlfn.RANK.EQ(V114,V$4:V$200)</f>
        <v>104</v>
      </c>
      <c r="AA114" s="2">
        <f t="shared" si="129"/>
        <v>82</v>
      </c>
      <c r="AB114" s="2">
        <f t="shared" si="129"/>
        <v>161</v>
      </c>
      <c r="AC114" s="2">
        <f t="shared" si="129"/>
        <v>170</v>
      </c>
      <c r="AD114" s="10">
        <f t="shared" si="2"/>
        <v>8</v>
      </c>
      <c r="AE114" s="2">
        <v>144</v>
      </c>
      <c r="AF114" s="10">
        <f t="shared" si="3"/>
        <v>10</v>
      </c>
      <c r="AG114" s="2"/>
      <c r="AH114" s="2"/>
      <c r="AI114" s="9">
        <f t="shared" si="100"/>
        <v>66</v>
      </c>
      <c r="AJ114" s="10">
        <f t="shared" si="84"/>
        <v>0</v>
      </c>
      <c r="AK114" s="10">
        <f t="shared" si="6"/>
        <v>0</v>
      </c>
      <c r="AL114" s="9">
        <f t="shared" si="98"/>
        <v>86</v>
      </c>
      <c r="AM114" s="10">
        <f t="shared" si="85"/>
        <v>0</v>
      </c>
      <c r="AN114" s="10">
        <f t="shared" si="9"/>
        <v>0</v>
      </c>
      <c r="AO114" s="10">
        <f t="shared" si="10"/>
        <v>0</v>
      </c>
    </row>
    <row r="115" spans="1:41">
      <c r="A115" s="3">
        <v>30057</v>
      </c>
      <c r="B115" s="2" t="s">
        <v>205</v>
      </c>
      <c r="C115" s="3" t="s">
        <v>46</v>
      </c>
      <c r="D115" s="3" t="s">
        <v>46</v>
      </c>
      <c r="E115" s="3" t="s">
        <v>46</v>
      </c>
      <c r="F115" s="3"/>
      <c r="G115" s="3" t="s">
        <v>206</v>
      </c>
      <c r="H115" s="3"/>
      <c r="I115" s="3" t="s">
        <v>176</v>
      </c>
      <c r="J115" s="3" t="s">
        <v>49</v>
      </c>
      <c r="K115" s="4"/>
      <c r="L115" s="3"/>
      <c r="M115" s="4"/>
      <c r="N115" s="2">
        <v>5</v>
      </c>
      <c r="O115" s="5" t="s">
        <v>120</v>
      </c>
      <c r="P115" s="25">
        <v>47.6</v>
      </c>
      <c r="Q115" s="26">
        <f t="shared" si="0"/>
        <v>1761.2</v>
      </c>
      <c r="R115" s="27">
        <v>3</v>
      </c>
      <c r="S115" s="2"/>
      <c r="T115" s="2">
        <v>51</v>
      </c>
      <c r="U115" s="2"/>
      <c r="V115" s="10">
        <v>63633</v>
      </c>
      <c r="W115" s="10">
        <v>41768</v>
      </c>
      <c r="X115" s="10">
        <v>20</v>
      </c>
      <c r="Y115" s="10">
        <v>13</v>
      </c>
      <c r="Z115" s="2">
        <f t="shared" ref="Z115:AC115" si="130">_xlfn.RANK.EQ(V115,V$4:V$200)</f>
        <v>66</v>
      </c>
      <c r="AA115" s="2">
        <f t="shared" si="130"/>
        <v>118</v>
      </c>
      <c r="AB115" s="2">
        <f t="shared" si="130"/>
        <v>115</v>
      </c>
      <c r="AC115" s="2">
        <f t="shared" si="130"/>
        <v>157</v>
      </c>
      <c r="AD115" s="10">
        <f t="shared" si="2"/>
        <v>16.5</v>
      </c>
      <c r="AE115" s="2">
        <v>219</v>
      </c>
      <c r="AF115" s="10">
        <f t="shared" si="3"/>
        <v>13</v>
      </c>
      <c r="AG115" s="2"/>
      <c r="AH115" s="2"/>
      <c r="AI115" s="9">
        <f t="shared" si="100"/>
        <v>75.75</v>
      </c>
      <c r="AJ115" s="10">
        <f t="shared" si="84"/>
        <v>0</v>
      </c>
      <c r="AK115" s="10">
        <f t="shared" si="6"/>
        <v>0</v>
      </c>
      <c r="AL115" s="9">
        <f t="shared" si="98"/>
        <v>100.5</v>
      </c>
      <c r="AM115" s="10">
        <f t="shared" si="85"/>
        <v>0</v>
      </c>
      <c r="AN115" s="10">
        <f t="shared" si="9"/>
        <v>0</v>
      </c>
      <c r="AO115" s="10">
        <f t="shared" si="10"/>
        <v>0</v>
      </c>
    </row>
    <row r="116" spans="1:41">
      <c r="A116" s="3">
        <v>40026</v>
      </c>
      <c r="B116" s="2" t="s">
        <v>207</v>
      </c>
      <c r="C116" s="3" t="s">
        <v>46</v>
      </c>
      <c r="D116" s="3" t="s">
        <v>46</v>
      </c>
      <c r="E116" s="3" t="s">
        <v>60</v>
      </c>
      <c r="F116" s="3" t="s">
        <v>61</v>
      </c>
      <c r="G116" s="3" t="s">
        <v>206</v>
      </c>
      <c r="H116" s="3"/>
      <c r="I116" s="3" t="s">
        <v>176</v>
      </c>
      <c r="J116" s="3" t="s">
        <v>49</v>
      </c>
      <c r="K116" s="4"/>
      <c r="L116" s="3"/>
      <c r="M116" s="4"/>
      <c r="N116" s="2">
        <v>5</v>
      </c>
      <c r="O116" s="5" t="s">
        <v>120</v>
      </c>
      <c r="P116" s="25">
        <v>100</v>
      </c>
      <c r="Q116" s="26">
        <f t="shared" si="0"/>
        <v>3700</v>
      </c>
      <c r="R116" s="27">
        <v>3</v>
      </c>
      <c r="S116" s="2"/>
      <c r="T116" s="2">
        <v>51</v>
      </c>
      <c r="U116" s="2"/>
      <c r="V116" s="10">
        <v>69030</v>
      </c>
      <c r="W116" s="10">
        <v>83340</v>
      </c>
      <c r="X116" s="10">
        <v>10</v>
      </c>
      <c r="Y116" s="10">
        <v>12</v>
      </c>
      <c r="Z116" s="2">
        <f t="shared" ref="Z116:AC116" si="131">_xlfn.RANK.EQ(V116,V$4:V$200)</f>
        <v>59</v>
      </c>
      <c r="AA116" s="2">
        <f t="shared" si="131"/>
        <v>62</v>
      </c>
      <c r="AB116" s="2">
        <f t="shared" si="131"/>
        <v>148</v>
      </c>
      <c r="AC116" s="2">
        <f t="shared" si="131"/>
        <v>161</v>
      </c>
      <c r="AD116" s="10">
        <f t="shared" si="2"/>
        <v>11</v>
      </c>
      <c r="AE116" s="2">
        <v>68</v>
      </c>
      <c r="AF116" s="10">
        <f t="shared" si="3"/>
        <v>12</v>
      </c>
      <c r="AG116" s="2"/>
      <c r="AH116" s="2"/>
      <c r="AI116" s="9">
        <f t="shared" si="100"/>
        <v>69</v>
      </c>
      <c r="AJ116" s="10">
        <f t="shared" si="84"/>
        <v>0</v>
      </c>
      <c r="AK116" s="10">
        <f t="shared" si="6"/>
        <v>0</v>
      </c>
      <c r="AL116" s="9">
        <f t="shared" si="98"/>
        <v>87</v>
      </c>
      <c r="AM116" s="10">
        <f t="shared" si="85"/>
        <v>0</v>
      </c>
      <c r="AN116" s="10">
        <f t="shared" si="9"/>
        <v>0</v>
      </c>
      <c r="AO116" s="10">
        <f t="shared" si="10"/>
        <v>0</v>
      </c>
    </row>
    <row r="117" spans="1:41">
      <c r="A117" s="3">
        <v>30059</v>
      </c>
      <c r="B117" s="2" t="s">
        <v>208</v>
      </c>
      <c r="C117" s="3"/>
      <c r="D117" s="3" t="s">
        <v>46</v>
      </c>
      <c r="E117" s="3" t="s">
        <v>46</v>
      </c>
      <c r="F117" s="3"/>
      <c r="G117" s="3" t="s">
        <v>206</v>
      </c>
      <c r="H117" s="3"/>
      <c r="I117" s="3" t="s">
        <v>176</v>
      </c>
      <c r="J117" s="3" t="s">
        <v>49</v>
      </c>
      <c r="K117" s="4"/>
      <c r="L117" s="3"/>
      <c r="M117" s="4"/>
      <c r="N117" s="2">
        <v>5</v>
      </c>
      <c r="O117" s="5" t="s">
        <v>120</v>
      </c>
      <c r="P117" s="25">
        <v>51.6</v>
      </c>
      <c r="Q117" s="26">
        <f t="shared" si="0"/>
        <v>1909.2</v>
      </c>
      <c r="R117" s="27">
        <v>3</v>
      </c>
      <c r="S117" s="2"/>
      <c r="T117" s="2">
        <v>51</v>
      </c>
      <c r="U117" s="2"/>
      <c r="V117" s="10">
        <v>40029</v>
      </c>
      <c r="W117" s="10">
        <v>73655</v>
      </c>
      <c r="X117" s="10">
        <v>11</v>
      </c>
      <c r="Y117" s="10">
        <v>20</v>
      </c>
      <c r="Z117" s="2">
        <f t="shared" ref="Z117:AC117" si="132">_xlfn.RANK.EQ(V117,V$4:V$200)</f>
        <v>106</v>
      </c>
      <c r="AA117" s="2">
        <f t="shared" si="132"/>
        <v>75</v>
      </c>
      <c r="AB117" s="2">
        <f t="shared" si="132"/>
        <v>144</v>
      </c>
      <c r="AC117" s="2">
        <f t="shared" si="132"/>
        <v>131</v>
      </c>
      <c r="AD117" s="10">
        <f t="shared" si="2"/>
        <v>15.5</v>
      </c>
      <c r="AE117" s="2">
        <v>153</v>
      </c>
      <c r="AF117" s="10">
        <f t="shared" si="3"/>
        <v>20</v>
      </c>
      <c r="AG117" s="2">
        <v>128</v>
      </c>
      <c r="AH117" s="2"/>
      <c r="AI117" s="9">
        <f t="shared" si="100"/>
        <v>81</v>
      </c>
      <c r="AJ117" s="10">
        <f t="shared" si="84"/>
        <v>0</v>
      </c>
      <c r="AK117" s="10">
        <f t="shared" si="6"/>
        <v>0</v>
      </c>
      <c r="AL117" s="9">
        <f t="shared" si="98"/>
        <v>111</v>
      </c>
      <c r="AM117" s="10">
        <f t="shared" si="85"/>
        <v>0</v>
      </c>
      <c r="AN117" s="10">
        <f t="shared" si="9"/>
        <v>0</v>
      </c>
      <c r="AO117" s="10">
        <f t="shared" si="10"/>
        <v>0</v>
      </c>
    </row>
    <row r="118" spans="1:41">
      <c r="A118" s="3">
        <v>30058</v>
      </c>
      <c r="B118" s="2" t="s">
        <v>209</v>
      </c>
      <c r="C118" s="3" t="s">
        <v>46</v>
      </c>
      <c r="D118" s="3" t="s">
        <v>46</v>
      </c>
      <c r="E118" s="3" t="s">
        <v>46</v>
      </c>
      <c r="F118" s="3"/>
      <c r="G118" s="3" t="s">
        <v>206</v>
      </c>
      <c r="H118" s="3"/>
      <c r="I118" s="3" t="s">
        <v>176</v>
      </c>
      <c r="J118" s="3" t="s">
        <v>49</v>
      </c>
      <c r="K118" s="4"/>
      <c r="L118" s="3"/>
      <c r="M118" s="4"/>
      <c r="N118" s="2">
        <v>5</v>
      </c>
      <c r="O118" s="5" t="s">
        <v>120</v>
      </c>
      <c r="P118" s="25">
        <v>66.33</v>
      </c>
      <c r="Q118" s="26">
        <f t="shared" si="0"/>
        <v>2454.21</v>
      </c>
      <c r="R118" s="27">
        <v>3</v>
      </c>
      <c r="S118" s="2"/>
      <c r="T118" s="2">
        <v>51</v>
      </c>
      <c r="U118" s="2"/>
      <c r="V118" s="10">
        <v>21888</v>
      </c>
      <c r="W118" s="10">
        <v>39312</v>
      </c>
      <c r="X118" s="10">
        <v>4</v>
      </c>
      <c r="Y118" s="10">
        <v>7</v>
      </c>
      <c r="Z118" s="2">
        <f t="shared" ref="Z118:AC118" si="133">_xlfn.RANK.EQ(V118,V$4:V$200)</f>
        <v>136</v>
      </c>
      <c r="AA118" s="2">
        <f t="shared" si="133"/>
        <v>122</v>
      </c>
      <c r="AB118" s="2">
        <f t="shared" si="133"/>
        <v>167</v>
      </c>
      <c r="AC118" s="2">
        <f t="shared" si="133"/>
        <v>188</v>
      </c>
      <c r="AD118" s="10">
        <f t="shared" si="2"/>
        <v>5.5</v>
      </c>
      <c r="AE118" s="2">
        <v>278</v>
      </c>
      <c r="AF118" s="10">
        <f t="shared" si="3"/>
        <v>7</v>
      </c>
      <c r="AG118" s="2"/>
      <c r="AH118" s="2"/>
      <c r="AI118" s="9">
        <f t="shared" si="100"/>
        <v>61.5</v>
      </c>
      <c r="AJ118" s="10">
        <f t="shared" si="84"/>
        <v>0</v>
      </c>
      <c r="AK118" s="10">
        <f t="shared" si="6"/>
        <v>0</v>
      </c>
      <c r="AL118" s="9">
        <f t="shared" si="98"/>
        <v>72</v>
      </c>
      <c r="AM118" s="10">
        <f t="shared" si="85"/>
        <v>0</v>
      </c>
      <c r="AN118" s="10">
        <f t="shared" si="9"/>
        <v>0</v>
      </c>
      <c r="AO118" s="10">
        <f t="shared" si="10"/>
        <v>0</v>
      </c>
    </row>
    <row r="119" spans="1:41">
      <c r="A119" s="3">
        <v>30128</v>
      </c>
      <c r="B119" s="2" t="s">
        <v>210</v>
      </c>
      <c r="C119" s="3"/>
      <c r="D119" s="3" t="s">
        <v>46</v>
      </c>
      <c r="E119" s="3" t="s">
        <v>46</v>
      </c>
      <c r="F119" s="3"/>
      <c r="G119" s="3" t="s">
        <v>75</v>
      </c>
      <c r="H119" s="3"/>
      <c r="I119" s="3" t="s">
        <v>48</v>
      </c>
      <c r="J119" s="3" t="s">
        <v>49</v>
      </c>
      <c r="K119" s="4"/>
      <c r="L119" s="3"/>
      <c r="M119" s="4"/>
      <c r="N119" s="2">
        <v>5</v>
      </c>
      <c r="O119" s="5" t="s">
        <v>55</v>
      </c>
      <c r="P119" s="25">
        <v>37.44</v>
      </c>
      <c r="Q119" s="26">
        <f t="shared" si="0"/>
        <v>1179.3599999999999</v>
      </c>
      <c r="R119" s="27">
        <v>2</v>
      </c>
      <c r="S119" s="2"/>
      <c r="T119" s="2">
        <v>51</v>
      </c>
      <c r="U119" s="2"/>
      <c r="V119" s="10">
        <v>73105</v>
      </c>
      <c r="W119" s="10">
        <v>64439</v>
      </c>
      <c r="X119" s="10">
        <v>40</v>
      </c>
      <c r="Y119" s="10">
        <v>35</v>
      </c>
      <c r="Z119" s="2">
        <f t="shared" ref="Z119:AC119" si="134">_xlfn.RANK.EQ(V119,V$4:V$200)</f>
        <v>57</v>
      </c>
      <c r="AA119" s="2">
        <f t="shared" si="134"/>
        <v>87</v>
      </c>
      <c r="AB119" s="2">
        <f t="shared" si="134"/>
        <v>75</v>
      </c>
      <c r="AC119" s="2">
        <f t="shared" si="134"/>
        <v>99</v>
      </c>
      <c r="AD119" s="10">
        <f t="shared" si="2"/>
        <v>37.5</v>
      </c>
      <c r="AE119" s="2">
        <v>77</v>
      </c>
      <c r="AF119" s="10">
        <f t="shared" si="3"/>
        <v>35</v>
      </c>
      <c r="AG119" s="2"/>
      <c r="AH119" s="2">
        <v>120</v>
      </c>
      <c r="AI119" s="9">
        <f t="shared" si="100"/>
        <v>107.25</v>
      </c>
      <c r="AJ119" s="10">
        <f t="shared" si="84"/>
        <v>0</v>
      </c>
      <c r="AK119" s="10">
        <f t="shared" si="6"/>
        <v>0</v>
      </c>
      <c r="AL119" s="9">
        <f t="shared" si="98"/>
        <v>126</v>
      </c>
      <c r="AM119" s="10">
        <f t="shared" si="85"/>
        <v>0</v>
      </c>
      <c r="AN119" s="10">
        <f t="shared" si="9"/>
        <v>0</v>
      </c>
      <c r="AO119" s="10">
        <f t="shared" si="10"/>
        <v>0</v>
      </c>
    </row>
    <row r="120" spans="1:41">
      <c r="A120" s="3">
        <v>30101</v>
      </c>
      <c r="B120" s="2" t="s">
        <v>211</v>
      </c>
      <c r="C120" s="3" t="s">
        <v>46</v>
      </c>
      <c r="D120" s="3" t="s">
        <v>46</v>
      </c>
      <c r="E120" s="3" t="s">
        <v>60</v>
      </c>
      <c r="F120" s="3" t="s">
        <v>61</v>
      </c>
      <c r="G120" s="3" t="s">
        <v>75</v>
      </c>
      <c r="H120" s="3"/>
      <c r="I120" s="3" t="s">
        <v>48</v>
      </c>
      <c r="J120" s="3" t="s">
        <v>49</v>
      </c>
      <c r="K120" s="4">
        <v>100</v>
      </c>
      <c r="L120" s="3"/>
      <c r="M120" s="4"/>
      <c r="N120" s="2">
        <v>5</v>
      </c>
      <c r="O120" s="5" t="s">
        <v>55</v>
      </c>
      <c r="P120" s="25">
        <v>36</v>
      </c>
      <c r="Q120" s="26">
        <f t="shared" si="0"/>
        <v>1134</v>
      </c>
      <c r="R120" s="27">
        <v>2</v>
      </c>
      <c r="S120" s="2"/>
      <c r="T120" s="2">
        <v>51</v>
      </c>
      <c r="U120" s="2"/>
      <c r="V120" s="10">
        <v>23892</v>
      </c>
      <c r="W120" s="10">
        <v>16656</v>
      </c>
      <c r="X120" s="10">
        <v>13</v>
      </c>
      <c r="Y120" s="10">
        <v>9</v>
      </c>
      <c r="Z120" s="2">
        <f t="shared" ref="Z120:AC120" si="135">_xlfn.RANK.EQ(V120,V$4:V$200)</f>
        <v>133</v>
      </c>
      <c r="AA120" s="2">
        <f t="shared" si="135"/>
        <v>169</v>
      </c>
      <c r="AB120" s="2">
        <f t="shared" si="135"/>
        <v>135</v>
      </c>
      <c r="AC120" s="2">
        <f t="shared" si="135"/>
        <v>177</v>
      </c>
      <c r="AD120" s="10">
        <f t="shared" si="2"/>
        <v>11</v>
      </c>
      <c r="AE120" s="2">
        <v>54</v>
      </c>
      <c r="AF120" s="10">
        <f t="shared" si="3"/>
        <v>9</v>
      </c>
      <c r="AG120" s="2"/>
      <c r="AH120" s="2"/>
      <c r="AI120" s="9">
        <f t="shared" si="100"/>
        <v>67.5</v>
      </c>
      <c r="AJ120" s="10">
        <f t="shared" si="84"/>
        <v>0</v>
      </c>
      <c r="AK120" s="10">
        <f t="shared" si="6"/>
        <v>0</v>
      </c>
      <c r="AL120" s="9">
        <f t="shared" si="98"/>
        <v>73</v>
      </c>
      <c r="AM120" s="10">
        <f t="shared" si="85"/>
        <v>0</v>
      </c>
      <c r="AN120" s="10">
        <f t="shared" si="9"/>
        <v>0</v>
      </c>
      <c r="AO120" s="10">
        <f t="shared" si="10"/>
        <v>0</v>
      </c>
    </row>
    <row r="121" spans="1:41">
      <c r="A121" s="3">
        <v>30092</v>
      </c>
      <c r="B121" s="2" t="s">
        <v>212</v>
      </c>
      <c r="C121" s="3" t="s">
        <v>46</v>
      </c>
      <c r="D121" s="3" t="s">
        <v>46</v>
      </c>
      <c r="E121" s="3" t="s">
        <v>60</v>
      </c>
      <c r="F121" s="3" t="s">
        <v>61</v>
      </c>
      <c r="G121" s="3" t="s">
        <v>213</v>
      </c>
      <c r="H121" s="3"/>
      <c r="I121" s="3" t="s">
        <v>119</v>
      </c>
      <c r="J121" s="3" t="s">
        <v>49</v>
      </c>
      <c r="K121" s="4"/>
      <c r="L121" s="3"/>
      <c r="M121" s="4"/>
      <c r="N121" s="2">
        <v>5</v>
      </c>
      <c r="O121" s="5" t="s">
        <v>55</v>
      </c>
      <c r="P121" s="25">
        <v>31.61</v>
      </c>
      <c r="Q121" s="26">
        <f t="shared" si="0"/>
        <v>995.71500000000003</v>
      </c>
      <c r="R121" s="27">
        <v>2</v>
      </c>
      <c r="S121" s="2"/>
      <c r="T121" s="2">
        <v>51</v>
      </c>
      <c r="U121" s="2"/>
      <c r="V121" s="10">
        <v>36534</v>
      </c>
      <c r="W121" s="10">
        <v>39114</v>
      </c>
      <c r="X121" s="10">
        <v>17</v>
      </c>
      <c r="Y121" s="10">
        <v>18</v>
      </c>
      <c r="Z121" s="2">
        <f t="shared" ref="Z121:AC121" si="136">_xlfn.RANK.EQ(V121,V$4:V$200)</f>
        <v>109</v>
      </c>
      <c r="AA121" s="2">
        <f t="shared" si="136"/>
        <v>123</v>
      </c>
      <c r="AB121" s="2">
        <f t="shared" si="136"/>
        <v>122</v>
      </c>
      <c r="AC121" s="2">
        <f t="shared" si="136"/>
        <v>142</v>
      </c>
      <c r="AD121" s="10">
        <f t="shared" si="2"/>
        <v>17.5</v>
      </c>
      <c r="AE121" s="2">
        <v>135</v>
      </c>
      <c r="AF121" s="10">
        <f t="shared" si="3"/>
        <v>18</v>
      </c>
      <c r="AG121" s="2"/>
      <c r="AH121" s="2"/>
      <c r="AI121" s="9">
        <f t="shared" si="100"/>
        <v>78</v>
      </c>
      <c r="AJ121" s="10">
        <f t="shared" si="84"/>
        <v>0</v>
      </c>
      <c r="AK121" s="10">
        <f t="shared" si="6"/>
        <v>0</v>
      </c>
      <c r="AL121" s="9">
        <f t="shared" si="98"/>
        <v>87</v>
      </c>
      <c r="AM121" s="10">
        <f t="shared" si="85"/>
        <v>0</v>
      </c>
      <c r="AN121" s="10">
        <f t="shared" si="9"/>
        <v>0</v>
      </c>
      <c r="AO121" s="10">
        <f t="shared" si="10"/>
        <v>0</v>
      </c>
    </row>
    <row r="122" spans="1:41">
      <c r="A122" s="3">
        <v>30091</v>
      </c>
      <c r="B122" s="2" t="s">
        <v>214</v>
      </c>
      <c r="C122" s="3" t="s">
        <v>46</v>
      </c>
      <c r="D122" s="3" t="s">
        <v>46</v>
      </c>
      <c r="E122" s="3" t="s">
        <v>60</v>
      </c>
      <c r="F122" s="3" t="s">
        <v>61</v>
      </c>
      <c r="G122" s="3" t="s">
        <v>213</v>
      </c>
      <c r="H122" s="3"/>
      <c r="I122" s="3" t="s">
        <v>119</v>
      </c>
      <c r="J122" s="3" t="s">
        <v>49</v>
      </c>
      <c r="K122" s="4"/>
      <c r="L122" s="3"/>
      <c r="M122" s="4"/>
      <c r="N122" s="2">
        <v>5</v>
      </c>
      <c r="O122" s="5" t="s">
        <v>55</v>
      </c>
      <c r="P122" s="25">
        <v>24.26</v>
      </c>
      <c r="Q122" s="26">
        <f t="shared" si="0"/>
        <v>764.19</v>
      </c>
      <c r="R122" s="27">
        <v>2</v>
      </c>
      <c r="S122" s="2"/>
      <c r="T122" s="2">
        <v>51</v>
      </c>
      <c r="U122" s="2"/>
      <c r="V122" s="10">
        <v>21741</v>
      </c>
      <c r="W122" s="10">
        <v>28255</v>
      </c>
      <c r="X122" s="10">
        <v>13</v>
      </c>
      <c r="Y122" s="10">
        <v>17</v>
      </c>
      <c r="Z122" s="2">
        <f t="shared" ref="Z122:AC122" si="137">_xlfn.RANK.EQ(V122,V$4:V$200)</f>
        <v>137</v>
      </c>
      <c r="AA122" s="2">
        <f t="shared" si="137"/>
        <v>147</v>
      </c>
      <c r="AB122" s="2">
        <f t="shared" si="137"/>
        <v>135</v>
      </c>
      <c r="AC122" s="2">
        <f t="shared" si="137"/>
        <v>144</v>
      </c>
      <c r="AD122" s="10">
        <f t="shared" si="2"/>
        <v>15</v>
      </c>
      <c r="AE122" s="2">
        <v>72</v>
      </c>
      <c r="AF122" s="10">
        <f t="shared" si="3"/>
        <v>17</v>
      </c>
      <c r="AG122" s="2"/>
      <c r="AH122" s="2"/>
      <c r="AI122" s="9">
        <f t="shared" si="100"/>
        <v>76.5</v>
      </c>
      <c r="AJ122" s="10">
        <f t="shared" si="84"/>
        <v>0</v>
      </c>
      <c r="AK122" s="10">
        <f t="shared" si="6"/>
        <v>0</v>
      </c>
      <c r="AL122" s="9">
        <f t="shared" si="98"/>
        <v>85</v>
      </c>
      <c r="AM122" s="10">
        <f t="shared" si="85"/>
        <v>0</v>
      </c>
      <c r="AN122" s="10">
        <f t="shared" si="9"/>
        <v>0</v>
      </c>
      <c r="AO122" s="10">
        <f t="shared" si="10"/>
        <v>0</v>
      </c>
    </row>
    <row r="123" spans="1:41">
      <c r="A123" s="3">
        <v>30097</v>
      </c>
      <c r="B123" s="2" t="s">
        <v>215</v>
      </c>
      <c r="C123" s="3" t="s">
        <v>46</v>
      </c>
      <c r="D123" s="3" t="s">
        <v>46</v>
      </c>
      <c r="E123" s="3" t="s">
        <v>46</v>
      </c>
      <c r="F123" s="3"/>
      <c r="G123" s="3" t="s">
        <v>191</v>
      </c>
      <c r="H123" s="3"/>
      <c r="I123" s="3" t="s">
        <v>54</v>
      </c>
      <c r="J123" s="3" t="s">
        <v>49</v>
      </c>
      <c r="K123" s="4"/>
      <c r="L123" s="3"/>
      <c r="M123" s="4"/>
      <c r="N123" s="2">
        <v>5</v>
      </c>
      <c r="O123" s="5" t="s">
        <v>55</v>
      </c>
      <c r="P123" s="25">
        <v>31.85</v>
      </c>
      <c r="Q123" s="26">
        <f t="shared" si="0"/>
        <v>1003.2750000000001</v>
      </c>
      <c r="R123" s="27">
        <v>4</v>
      </c>
      <c r="S123" s="2"/>
      <c r="T123" s="2">
        <v>51</v>
      </c>
      <c r="U123" s="2"/>
      <c r="V123" s="10">
        <v>21284</v>
      </c>
      <c r="W123" s="10">
        <v>23625</v>
      </c>
      <c r="X123" s="10">
        <v>9</v>
      </c>
      <c r="Y123" s="10">
        <v>10</v>
      </c>
      <c r="Z123" s="2">
        <f t="shared" ref="Z123:AC123" si="138">_xlfn.RANK.EQ(V123,V$4:V$200)</f>
        <v>139</v>
      </c>
      <c r="AA123" s="2">
        <f t="shared" si="138"/>
        <v>156</v>
      </c>
      <c r="AB123" s="2">
        <f t="shared" si="138"/>
        <v>150</v>
      </c>
      <c r="AC123" s="2">
        <f t="shared" si="138"/>
        <v>170</v>
      </c>
      <c r="AD123" s="10">
        <f t="shared" si="2"/>
        <v>9.5</v>
      </c>
      <c r="AE123" s="2">
        <v>148</v>
      </c>
      <c r="AF123" s="10">
        <f t="shared" si="3"/>
        <v>10</v>
      </c>
      <c r="AG123" s="2"/>
      <c r="AH123" s="2"/>
      <c r="AI123" s="9">
        <f t="shared" si="100"/>
        <v>66</v>
      </c>
      <c r="AJ123" s="10">
        <f t="shared" si="84"/>
        <v>0</v>
      </c>
      <c r="AK123" s="10">
        <f t="shared" si="6"/>
        <v>0</v>
      </c>
      <c r="AL123" s="9">
        <f t="shared" si="98"/>
        <v>91</v>
      </c>
      <c r="AM123" s="10">
        <f t="shared" si="85"/>
        <v>0</v>
      </c>
      <c r="AN123" s="10">
        <f t="shared" si="9"/>
        <v>0</v>
      </c>
      <c r="AO123" s="10">
        <f t="shared" si="10"/>
        <v>0</v>
      </c>
    </row>
    <row r="124" spans="1:41">
      <c r="A124" s="3">
        <v>30096</v>
      </c>
      <c r="B124" s="2" t="s">
        <v>216</v>
      </c>
      <c r="C124" s="3" t="s">
        <v>46</v>
      </c>
      <c r="D124" s="3" t="s">
        <v>46</v>
      </c>
      <c r="E124" s="3" t="s">
        <v>60</v>
      </c>
      <c r="F124" s="3" t="s">
        <v>61</v>
      </c>
      <c r="G124" s="3" t="s">
        <v>130</v>
      </c>
      <c r="H124" s="3"/>
      <c r="I124" s="3" t="s">
        <v>119</v>
      </c>
      <c r="J124" s="3" t="s">
        <v>49</v>
      </c>
      <c r="K124" s="4"/>
      <c r="L124" s="3"/>
      <c r="M124" s="4"/>
      <c r="N124" s="2">
        <v>5</v>
      </c>
      <c r="O124" s="5" t="s">
        <v>55</v>
      </c>
      <c r="P124" s="25">
        <v>52.2</v>
      </c>
      <c r="Q124" s="26">
        <f t="shared" si="0"/>
        <v>1644.3000000000002</v>
      </c>
      <c r="R124" s="27">
        <v>1.5</v>
      </c>
      <c r="S124" s="2"/>
      <c r="T124" s="2">
        <v>51</v>
      </c>
      <c r="U124" s="2"/>
      <c r="V124" s="10">
        <v>19086</v>
      </c>
      <c r="W124" s="10">
        <v>19479</v>
      </c>
      <c r="X124" s="10">
        <v>7</v>
      </c>
      <c r="Y124" s="10">
        <v>7</v>
      </c>
      <c r="Z124" s="2">
        <f t="shared" ref="Z124:AC124" si="139">_xlfn.RANK.EQ(V124,V$4:V$200)</f>
        <v>144</v>
      </c>
      <c r="AA124" s="2">
        <f t="shared" si="139"/>
        <v>162</v>
      </c>
      <c r="AB124" s="2">
        <f t="shared" si="139"/>
        <v>157</v>
      </c>
      <c r="AC124" s="2">
        <f t="shared" si="139"/>
        <v>188</v>
      </c>
      <c r="AD124" s="10">
        <f t="shared" si="2"/>
        <v>7</v>
      </c>
      <c r="AE124" s="2">
        <v>94</v>
      </c>
      <c r="AF124" s="10">
        <f t="shared" si="3"/>
        <v>7</v>
      </c>
      <c r="AG124" s="2"/>
      <c r="AH124" s="2"/>
      <c r="AI124" s="9">
        <f t="shared" si="100"/>
        <v>61.5</v>
      </c>
      <c r="AJ124" s="10">
        <f t="shared" si="84"/>
        <v>0</v>
      </c>
      <c r="AK124" s="10">
        <f t="shared" si="6"/>
        <v>0</v>
      </c>
      <c r="AL124" s="9">
        <f t="shared" si="98"/>
        <v>61.5</v>
      </c>
      <c r="AM124" s="10">
        <f t="shared" si="85"/>
        <v>0</v>
      </c>
      <c r="AN124" s="10">
        <f t="shared" si="9"/>
        <v>0</v>
      </c>
      <c r="AO124" s="10">
        <f t="shared" si="10"/>
        <v>0</v>
      </c>
    </row>
    <row r="125" spans="1:41">
      <c r="A125" s="3">
        <v>30111</v>
      </c>
      <c r="B125" s="2" t="s">
        <v>217</v>
      </c>
      <c r="C125" s="3"/>
      <c r="D125" s="3" t="s">
        <v>46</v>
      </c>
      <c r="E125" s="3" t="s">
        <v>46</v>
      </c>
      <c r="F125" s="3" t="s">
        <v>61</v>
      </c>
      <c r="G125" s="3" t="s">
        <v>191</v>
      </c>
      <c r="H125" s="3"/>
      <c r="I125" s="3" t="s">
        <v>54</v>
      </c>
      <c r="J125" s="3" t="s">
        <v>49</v>
      </c>
      <c r="K125" s="4"/>
      <c r="L125" s="3"/>
      <c r="M125" s="4"/>
      <c r="N125" s="2">
        <v>5</v>
      </c>
      <c r="O125" s="5" t="s">
        <v>55</v>
      </c>
      <c r="P125" s="25">
        <v>45.85</v>
      </c>
      <c r="Q125" s="26">
        <f t="shared" si="0"/>
        <v>1444.2750000000001</v>
      </c>
      <c r="R125" s="27">
        <v>4</v>
      </c>
      <c r="S125" s="2"/>
      <c r="T125" s="2">
        <v>51</v>
      </c>
      <c r="U125" s="2"/>
      <c r="V125" s="10">
        <v>9596</v>
      </c>
      <c r="W125" s="10">
        <v>13012</v>
      </c>
      <c r="X125" s="10">
        <v>3</v>
      </c>
      <c r="Y125" s="10">
        <v>4</v>
      </c>
      <c r="Z125" s="2">
        <f t="shared" ref="Z125:AC125" si="140">_xlfn.RANK.EQ(V125,V$4:V$200)</f>
        <v>159</v>
      </c>
      <c r="AA125" s="2">
        <f t="shared" si="140"/>
        <v>178</v>
      </c>
      <c r="AB125" s="2">
        <f t="shared" si="140"/>
        <v>171</v>
      </c>
      <c r="AC125" s="2">
        <f t="shared" si="140"/>
        <v>193</v>
      </c>
      <c r="AD125" s="10">
        <f t="shared" si="2"/>
        <v>3.5</v>
      </c>
      <c r="AE125" s="2">
        <v>117</v>
      </c>
      <c r="AF125" s="10">
        <f t="shared" si="3"/>
        <v>4</v>
      </c>
      <c r="AG125" s="2"/>
      <c r="AH125" s="2"/>
      <c r="AI125" s="9">
        <f t="shared" si="100"/>
        <v>57</v>
      </c>
      <c r="AJ125" s="10">
        <f t="shared" si="84"/>
        <v>0</v>
      </c>
      <c r="AK125" s="10">
        <f t="shared" si="6"/>
        <v>0</v>
      </c>
      <c r="AL125" s="9">
        <f t="shared" si="98"/>
        <v>67</v>
      </c>
      <c r="AM125" s="10">
        <f t="shared" si="85"/>
        <v>0</v>
      </c>
      <c r="AN125" s="10">
        <f t="shared" si="9"/>
        <v>0</v>
      </c>
      <c r="AO125" s="10">
        <f t="shared" si="10"/>
        <v>0</v>
      </c>
    </row>
    <row r="126" spans="1:41">
      <c r="A126" s="3">
        <v>30044</v>
      </c>
      <c r="B126" s="2" t="s">
        <v>218</v>
      </c>
      <c r="C126" s="3" t="s">
        <v>46</v>
      </c>
      <c r="D126" s="3" t="s">
        <v>46</v>
      </c>
      <c r="E126" s="3" t="s">
        <v>46</v>
      </c>
      <c r="F126" s="3"/>
      <c r="G126" s="3" t="s">
        <v>191</v>
      </c>
      <c r="H126" s="3"/>
      <c r="I126" s="3" t="s">
        <v>54</v>
      </c>
      <c r="J126" s="3" t="s">
        <v>49</v>
      </c>
      <c r="K126" s="4"/>
      <c r="L126" s="3"/>
      <c r="M126" s="4"/>
      <c r="N126" s="2">
        <v>5</v>
      </c>
      <c r="O126" s="5" t="s">
        <v>55</v>
      </c>
      <c r="P126" s="25">
        <v>14</v>
      </c>
      <c r="Q126" s="26">
        <f t="shared" si="0"/>
        <v>441</v>
      </c>
      <c r="R126" s="27">
        <v>4</v>
      </c>
      <c r="S126" s="2"/>
      <c r="T126" s="2">
        <v>51</v>
      </c>
      <c r="U126" s="2"/>
      <c r="V126" s="10">
        <v>42373</v>
      </c>
      <c r="W126" s="10">
        <v>55875</v>
      </c>
      <c r="X126" s="10">
        <v>39</v>
      </c>
      <c r="Y126" s="10">
        <v>51</v>
      </c>
      <c r="Z126" s="2">
        <f t="shared" ref="Z126:AC126" si="141">_xlfn.RANK.EQ(V126,V$4:V$200)</f>
        <v>102</v>
      </c>
      <c r="AA126" s="2">
        <f t="shared" si="141"/>
        <v>95</v>
      </c>
      <c r="AB126" s="2">
        <f t="shared" si="141"/>
        <v>78</v>
      </c>
      <c r="AC126" s="2">
        <f t="shared" si="141"/>
        <v>71</v>
      </c>
      <c r="AD126" s="10">
        <f t="shared" si="2"/>
        <v>45</v>
      </c>
      <c r="AE126" s="2">
        <v>150</v>
      </c>
      <c r="AF126" s="10">
        <f t="shared" si="3"/>
        <v>51</v>
      </c>
      <c r="AG126" s="2">
        <v>60</v>
      </c>
      <c r="AH126" s="2"/>
      <c r="AI126" s="9">
        <f t="shared" si="100"/>
        <v>127.5</v>
      </c>
      <c r="AJ126" s="10">
        <f t="shared" si="84"/>
        <v>0</v>
      </c>
      <c r="AK126" s="10">
        <f t="shared" si="6"/>
        <v>0</v>
      </c>
      <c r="AL126" s="9">
        <f t="shared" si="98"/>
        <v>255</v>
      </c>
      <c r="AM126" s="10">
        <f t="shared" si="85"/>
        <v>100</v>
      </c>
      <c r="AN126" s="10">
        <f t="shared" si="9"/>
        <v>44100</v>
      </c>
      <c r="AO126" s="10">
        <f t="shared" si="10"/>
        <v>100</v>
      </c>
    </row>
    <row r="127" spans="1:41">
      <c r="A127" s="3">
        <v>30102</v>
      </c>
      <c r="B127" s="2" t="s">
        <v>219</v>
      </c>
      <c r="C127" s="3" t="s">
        <v>46</v>
      </c>
      <c r="D127" s="3" t="s">
        <v>46</v>
      </c>
      <c r="E127" s="3" t="s">
        <v>60</v>
      </c>
      <c r="F127" s="3" t="s">
        <v>61</v>
      </c>
      <c r="G127" s="3" t="s">
        <v>220</v>
      </c>
      <c r="H127" s="3"/>
      <c r="I127" s="3" t="s">
        <v>221</v>
      </c>
      <c r="J127" s="3" t="s">
        <v>49</v>
      </c>
      <c r="K127" s="4"/>
      <c r="L127" s="3"/>
      <c r="M127" s="4"/>
      <c r="N127" s="2">
        <v>5</v>
      </c>
      <c r="O127" s="5" t="s">
        <v>55</v>
      </c>
      <c r="P127" s="25">
        <v>22.8</v>
      </c>
      <c r="Q127" s="26">
        <f t="shared" si="0"/>
        <v>718.2</v>
      </c>
      <c r="R127" s="27">
        <v>2</v>
      </c>
      <c r="S127" s="2"/>
      <c r="T127" s="2">
        <v>51</v>
      </c>
      <c r="U127" s="2"/>
      <c r="V127" s="10">
        <v>64585</v>
      </c>
      <c r="W127" s="10">
        <v>64466</v>
      </c>
      <c r="X127" s="10">
        <v>47</v>
      </c>
      <c r="Y127" s="10">
        <v>47</v>
      </c>
      <c r="Z127" s="2">
        <f t="shared" ref="Z127:AC127" si="142">_xlfn.RANK.EQ(V127,V$4:V$200)</f>
        <v>64</v>
      </c>
      <c r="AA127" s="2">
        <f t="shared" si="142"/>
        <v>86</v>
      </c>
      <c r="AB127" s="2">
        <f t="shared" si="142"/>
        <v>62</v>
      </c>
      <c r="AC127" s="2">
        <f t="shared" si="142"/>
        <v>77</v>
      </c>
      <c r="AD127" s="10">
        <f t="shared" si="2"/>
        <v>47</v>
      </c>
      <c r="AE127" s="2">
        <v>106</v>
      </c>
      <c r="AF127" s="10">
        <f t="shared" si="3"/>
        <v>47</v>
      </c>
      <c r="AG127" s="2">
        <v>60</v>
      </c>
      <c r="AH127" s="2"/>
      <c r="AI127" s="9">
        <f t="shared" si="100"/>
        <v>121.5</v>
      </c>
      <c r="AJ127" s="10">
        <f t="shared" si="84"/>
        <v>0</v>
      </c>
      <c r="AK127" s="10">
        <f t="shared" si="6"/>
        <v>0</v>
      </c>
      <c r="AL127" s="9">
        <f t="shared" si="98"/>
        <v>145</v>
      </c>
      <c r="AM127" s="10">
        <f t="shared" si="85"/>
        <v>0</v>
      </c>
      <c r="AN127" s="10">
        <f t="shared" si="9"/>
        <v>0</v>
      </c>
      <c r="AO127" s="10">
        <f t="shared" si="10"/>
        <v>0</v>
      </c>
    </row>
    <row r="128" spans="1:41">
      <c r="A128" s="3">
        <v>30065</v>
      </c>
      <c r="B128" s="2" t="s">
        <v>222</v>
      </c>
      <c r="C128" s="3" t="s">
        <v>46</v>
      </c>
      <c r="D128" s="3" t="s">
        <v>46</v>
      </c>
      <c r="E128" s="3" t="s">
        <v>60</v>
      </c>
      <c r="F128" s="3" t="s">
        <v>61</v>
      </c>
      <c r="G128" s="3" t="s">
        <v>220</v>
      </c>
      <c r="H128" s="3"/>
      <c r="I128" s="3" t="s">
        <v>221</v>
      </c>
      <c r="J128" s="3" t="s">
        <v>49</v>
      </c>
      <c r="K128" s="4"/>
      <c r="L128" s="3"/>
      <c r="M128" s="4"/>
      <c r="N128" s="2">
        <v>5</v>
      </c>
      <c r="O128" s="5" t="s">
        <v>55</v>
      </c>
      <c r="P128" s="25">
        <v>19.2</v>
      </c>
      <c r="Q128" s="26">
        <f t="shared" si="0"/>
        <v>604.79999999999995</v>
      </c>
      <c r="R128" s="27">
        <v>2</v>
      </c>
      <c r="S128" s="2"/>
      <c r="T128" s="2">
        <v>51</v>
      </c>
      <c r="U128" s="2"/>
      <c r="V128" s="10">
        <v>14915</v>
      </c>
      <c r="W128" s="10">
        <v>11480</v>
      </c>
      <c r="X128" s="10">
        <v>13</v>
      </c>
      <c r="Y128" s="10">
        <v>10</v>
      </c>
      <c r="Z128" s="2">
        <f t="shared" ref="Z128:AC128" si="143">_xlfn.RANK.EQ(V128,V$4:V$200)</f>
        <v>151</v>
      </c>
      <c r="AA128" s="2">
        <f t="shared" si="143"/>
        <v>182</v>
      </c>
      <c r="AB128" s="2">
        <f t="shared" si="143"/>
        <v>135</v>
      </c>
      <c r="AC128" s="2">
        <f t="shared" si="143"/>
        <v>170</v>
      </c>
      <c r="AD128" s="10">
        <f t="shared" si="2"/>
        <v>11.5</v>
      </c>
      <c r="AE128" s="2">
        <v>88</v>
      </c>
      <c r="AF128" s="10">
        <f t="shared" si="3"/>
        <v>10</v>
      </c>
      <c r="AG128" s="2">
        <v>30</v>
      </c>
      <c r="AH128" s="2"/>
      <c r="AI128" s="9">
        <f t="shared" si="100"/>
        <v>68.25</v>
      </c>
      <c r="AJ128" s="10">
        <f t="shared" si="84"/>
        <v>0</v>
      </c>
      <c r="AK128" s="10">
        <f t="shared" si="6"/>
        <v>0</v>
      </c>
      <c r="AL128" s="9">
        <f t="shared" si="98"/>
        <v>74</v>
      </c>
      <c r="AM128" s="10">
        <f t="shared" si="85"/>
        <v>0</v>
      </c>
      <c r="AN128" s="10">
        <f t="shared" si="9"/>
        <v>0</v>
      </c>
      <c r="AO128" s="10">
        <f t="shared" si="10"/>
        <v>0</v>
      </c>
    </row>
    <row r="129" spans="1:41">
      <c r="A129" s="3">
        <v>30112</v>
      </c>
      <c r="B129" s="2" t="s">
        <v>223</v>
      </c>
      <c r="C129" s="3"/>
      <c r="D129" s="3" t="s">
        <v>46</v>
      </c>
      <c r="E129" s="3" t="s">
        <v>46</v>
      </c>
      <c r="F129" s="3"/>
      <c r="G129" s="3" t="s">
        <v>191</v>
      </c>
      <c r="H129" s="3"/>
      <c r="I129" s="3" t="s">
        <v>54</v>
      </c>
      <c r="J129" s="3" t="s">
        <v>49</v>
      </c>
      <c r="K129" s="4"/>
      <c r="L129" s="3"/>
      <c r="M129" s="4"/>
      <c r="N129" s="2">
        <v>5</v>
      </c>
      <c r="O129" s="5" t="s">
        <v>55</v>
      </c>
      <c r="P129" s="25">
        <v>39.200000000000003</v>
      </c>
      <c r="Q129" s="26">
        <f t="shared" si="0"/>
        <v>1234.8000000000002</v>
      </c>
      <c r="R129" s="27">
        <v>4</v>
      </c>
      <c r="S129" s="2"/>
      <c r="T129" s="2">
        <v>51</v>
      </c>
      <c r="U129" s="2"/>
      <c r="V129" s="10">
        <v>50043</v>
      </c>
      <c r="W129" s="10">
        <v>44766</v>
      </c>
      <c r="X129" s="10">
        <v>18</v>
      </c>
      <c r="Y129" s="10">
        <v>16</v>
      </c>
      <c r="Z129" s="2">
        <f t="shared" ref="Z129:AC129" si="144">_xlfn.RANK.EQ(V129,V$4:V$200)</f>
        <v>93</v>
      </c>
      <c r="AA129" s="2">
        <f t="shared" si="144"/>
        <v>113</v>
      </c>
      <c r="AB129" s="2">
        <f t="shared" si="144"/>
        <v>119</v>
      </c>
      <c r="AC129" s="2">
        <f t="shared" si="144"/>
        <v>147</v>
      </c>
      <c r="AD129" s="10">
        <f t="shared" si="2"/>
        <v>17</v>
      </c>
      <c r="AE129" s="2">
        <v>82</v>
      </c>
      <c r="AF129" s="10">
        <f t="shared" si="3"/>
        <v>16</v>
      </c>
      <c r="AG129" s="2"/>
      <c r="AH129" s="2">
        <v>30</v>
      </c>
      <c r="AI129" s="9">
        <f t="shared" si="100"/>
        <v>76.5</v>
      </c>
      <c r="AJ129" s="10">
        <f t="shared" si="84"/>
        <v>0</v>
      </c>
      <c r="AK129" s="10">
        <f t="shared" si="6"/>
        <v>0</v>
      </c>
      <c r="AL129" s="9">
        <f t="shared" si="98"/>
        <v>119</v>
      </c>
      <c r="AM129" s="10">
        <f t="shared" si="85"/>
        <v>25</v>
      </c>
      <c r="AN129" s="10">
        <f t="shared" si="9"/>
        <v>30870.000000000004</v>
      </c>
      <c r="AO129" s="10">
        <f t="shared" si="10"/>
        <v>25</v>
      </c>
    </row>
    <row r="130" spans="1:41">
      <c r="A130" s="3">
        <v>70062</v>
      </c>
      <c r="B130" s="2" t="s">
        <v>224</v>
      </c>
      <c r="C130" s="3" t="s">
        <v>46</v>
      </c>
      <c r="D130" s="3" t="s">
        <v>46</v>
      </c>
      <c r="E130" s="3" t="s">
        <v>46</v>
      </c>
      <c r="F130" s="3" t="s">
        <v>61</v>
      </c>
      <c r="G130" s="3" t="s">
        <v>75</v>
      </c>
      <c r="H130" s="3"/>
      <c r="I130" s="3" t="s">
        <v>48</v>
      </c>
      <c r="J130" s="3" t="s">
        <v>49</v>
      </c>
      <c r="K130" s="4"/>
      <c r="L130" s="3"/>
      <c r="M130" s="4"/>
      <c r="N130" s="2">
        <v>5</v>
      </c>
      <c r="O130" s="5" t="s">
        <v>55</v>
      </c>
      <c r="P130" s="25">
        <v>46.53</v>
      </c>
      <c r="Q130" s="26">
        <f t="shared" si="0"/>
        <v>1465.6949999999999</v>
      </c>
      <c r="R130" s="27">
        <v>1.5</v>
      </c>
      <c r="S130" s="2"/>
      <c r="T130" s="2">
        <v>51</v>
      </c>
      <c r="U130" s="2"/>
      <c r="V130" s="10">
        <v>14502</v>
      </c>
      <c r="W130" s="10">
        <v>12307</v>
      </c>
      <c r="X130" s="10">
        <v>6</v>
      </c>
      <c r="Y130" s="10">
        <v>5</v>
      </c>
      <c r="Z130" s="2">
        <f t="shared" ref="Z130:AC130" si="145">_xlfn.RANK.EQ(V130,V$4:V$200)</f>
        <v>152</v>
      </c>
      <c r="AA130" s="2">
        <f t="shared" si="145"/>
        <v>180</v>
      </c>
      <c r="AB130" s="2">
        <f t="shared" si="145"/>
        <v>161</v>
      </c>
      <c r="AC130" s="2">
        <f t="shared" si="145"/>
        <v>192</v>
      </c>
      <c r="AD130" s="10">
        <f t="shared" si="2"/>
        <v>5.5</v>
      </c>
      <c r="AE130" s="2">
        <v>117</v>
      </c>
      <c r="AF130" s="10">
        <f t="shared" si="3"/>
        <v>5</v>
      </c>
      <c r="AG130" s="2"/>
      <c r="AH130" s="2"/>
      <c r="AI130" s="9">
        <f t="shared" si="100"/>
        <v>59.25</v>
      </c>
      <c r="AJ130" s="10">
        <f t="shared" si="84"/>
        <v>0</v>
      </c>
      <c r="AK130" s="10">
        <f t="shared" si="6"/>
        <v>0</v>
      </c>
      <c r="AL130" s="9">
        <f t="shared" si="98"/>
        <v>59.25</v>
      </c>
      <c r="AM130" s="10">
        <f t="shared" si="85"/>
        <v>0</v>
      </c>
      <c r="AN130" s="10">
        <f t="shared" si="9"/>
        <v>0</v>
      </c>
      <c r="AO130" s="10">
        <f t="shared" si="10"/>
        <v>0</v>
      </c>
    </row>
    <row r="131" spans="1:41">
      <c r="A131" s="3">
        <v>80071</v>
      </c>
      <c r="B131" s="2" t="s">
        <v>225</v>
      </c>
      <c r="C131" s="3"/>
      <c r="D131" s="3" t="s">
        <v>46</v>
      </c>
      <c r="E131" s="3" t="s">
        <v>46</v>
      </c>
      <c r="F131" s="3" t="s">
        <v>61</v>
      </c>
      <c r="G131" s="3" t="s">
        <v>226</v>
      </c>
      <c r="H131" s="3"/>
      <c r="I131" s="3" t="s">
        <v>114</v>
      </c>
      <c r="J131" s="3" t="s">
        <v>115</v>
      </c>
      <c r="K131" s="4"/>
      <c r="L131" s="3"/>
      <c r="M131" s="4"/>
      <c r="N131" s="2">
        <v>5</v>
      </c>
      <c r="O131" s="5" t="s">
        <v>50</v>
      </c>
      <c r="P131" s="25">
        <v>940.5</v>
      </c>
      <c r="Q131" s="26">
        <f t="shared" si="0"/>
        <v>940.5</v>
      </c>
      <c r="R131" s="27">
        <v>1.5</v>
      </c>
      <c r="S131" s="2"/>
      <c r="T131" s="2">
        <v>51</v>
      </c>
      <c r="U131" s="2"/>
      <c r="V131" s="10">
        <v>0</v>
      </c>
      <c r="W131" s="10">
        <v>94400</v>
      </c>
      <c r="X131" s="10">
        <v>0</v>
      </c>
      <c r="Y131" s="10">
        <v>58</v>
      </c>
      <c r="Z131" s="2">
        <f t="shared" ref="Z131:AC131" si="146">_xlfn.RANK.EQ(V131,V$4:V$200)</f>
        <v>168</v>
      </c>
      <c r="AA131" s="2">
        <f t="shared" si="146"/>
        <v>54</v>
      </c>
      <c r="AB131" s="2">
        <f t="shared" si="146"/>
        <v>176</v>
      </c>
      <c r="AC131" s="2">
        <f t="shared" si="146"/>
        <v>62</v>
      </c>
      <c r="AD131" s="10">
        <f t="shared" si="2"/>
        <v>29</v>
      </c>
      <c r="AE131" s="2">
        <v>0</v>
      </c>
      <c r="AF131" s="10">
        <f t="shared" si="3"/>
        <v>58</v>
      </c>
      <c r="AG131" s="2"/>
      <c r="AH131" s="2">
        <v>0</v>
      </c>
      <c r="AI131" s="9">
        <f t="shared" si="100"/>
        <v>138</v>
      </c>
      <c r="AJ131" s="10">
        <f t="shared" si="84"/>
        <v>0</v>
      </c>
      <c r="AK131" s="10">
        <f t="shared" si="6"/>
        <v>0</v>
      </c>
      <c r="AL131" s="9">
        <f t="shared" si="98"/>
        <v>138</v>
      </c>
      <c r="AM131" s="10">
        <f t="shared" si="85"/>
        <v>0</v>
      </c>
      <c r="AN131" s="10">
        <f t="shared" si="9"/>
        <v>0</v>
      </c>
      <c r="AO131" s="10">
        <f t="shared" si="10"/>
        <v>0</v>
      </c>
    </row>
    <row r="132" spans="1:41">
      <c r="A132" s="3">
        <v>80042</v>
      </c>
      <c r="B132" s="2" t="s">
        <v>227</v>
      </c>
      <c r="C132" s="3" t="s">
        <v>46</v>
      </c>
      <c r="D132" s="3" t="s">
        <v>46</v>
      </c>
      <c r="E132" s="3" t="s">
        <v>46</v>
      </c>
      <c r="F132" s="3" t="s">
        <v>61</v>
      </c>
      <c r="G132" s="3" t="s">
        <v>226</v>
      </c>
      <c r="H132" s="3"/>
      <c r="I132" s="3" t="s">
        <v>114</v>
      </c>
      <c r="J132" s="3" t="s">
        <v>115</v>
      </c>
      <c r="K132" s="4"/>
      <c r="L132" s="3"/>
      <c r="M132" s="4"/>
      <c r="N132" s="2">
        <v>5</v>
      </c>
      <c r="O132" s="5" t="s">
        <v>50</v>
      </c>
      <c r="P132" s="25">
        <v>575</v>
      </c>
      <c r="Q132" s="26">
        <f t="shared" si="0"/>
        <v>575</v>
      </c>
      <c r="R132" s="27">
        <v>1.5</v>
      </c>
      <c r="S132" s="2"/>
      <c r="T132" s="2">
        <v>102</v>
      </c>
      <c r="U132" s="2"/>
      <c r="V132" s="10">
        <v>93638</v>
      </c>
      <c r="W132" s="10">
        <v>135373</v>
      </c>
      <c r="X132" s="10">
        <v>94</v>
      </c>
      <c r="Y132" s="10">
        <v>137</v>
      </c>
      <c r="Z132" s="2">
        <f t="shared" ref="Z132:AC132" si="147">_xlfn.RANK.EQ(V132,V$4:V$200)</f>
        <v>46</v>
      </c>
      <c r="AA132" s="2">
        <f t="shared" si="147"/>
        <v>31</v>
      </c>
      <c r="AB132" s="2">
        <f t="shared" si="147"/>
        <v>29</v>
      </c>
      <c r="AC132" s="2">
        <f t="shared" si="147"/>
        <v>20</v>
      </c>
      <c r="AD132" s="10">
        <f t="shared" si="2"/>
        <v>115.5</v>
      </c>
      <c r="AE132" s="2">
        <v>195</v>
      </c>
      <c r="AF132" s="10">
        <f t="shared" si="3"/>
        <v>137</v>
      </c>
      <c r="AG132" s="2">
        <v>110</v>
      </c>
      <c r="AH132" s="2"/>
      <c r="AI132" s="9">
        <f t="shared" si="100"/>
        <v>307.5</v>
      </c>
      <c r="AJ132" s="10">
        <f t="shared" si="84"/>
        <v>0</v>
      </c>
      <c r="AK132" s="10">
        <f t="shared" si="6"/>
        <v>0</v>
      </c>
      <c r="AL132" s="9">
        <f t="shared" si="98"/>
        <v>307.5</v>
      </c>
      <c r="AM132" s="10">
        <f t="shared" si="85"/>
        <v>0</v>
      </c>
      <c r="AN132" s="10">
        <f t="shared" si="9"/>
        <v>0</v>
      </c>
      <c r="AO132" s="10">
        <f t="shared" si="10"/>
        <v>0</v>
      </c>
    </row>
    <row r="133" spans="1:41">
      <c r="A133" s="3">
        <v>80056</v>
      </c>
      <c r="B133" s="2" t="s">
        <v>228</v>
      </c>
      <c r="C133" s="3" t="s">
        <v>46</v>
      </c>
      <c r="D133" s="3" t="s">
        <v>46</v>
      </c>
      <c r="E133" s="3" t="s">
        <v>46</v>
      </c>
      <c r="F133" s="3"/>
      <c r="G133" s="3" t="s">
        <v>172</v>
      </c>
      <c r="H133" s="3"/>
      <c r="I133" s="3" t="s">
        <v>119</v>
      </c>
      <c r="J133" s="3" t="s">
        <v>49</v>
      </c>
      <c r="K133" s="4"/>
      <c r="L133" s="3"/>
      <c r="M133" s="4"/>
      <c r="N133" s="2">
        <v>5</v>
      </c>
      <c r="O133" s="5" t="s">
        <v>55</v>
      </c>
      <c r="P133" s="25">
        <v>14</v>
      </c>
      <c r="Q133" s="26">
        <f t="shared" si="0"/>
        <v>441</v>
      </c>
      <c r="R133" s="27">
        <v>1.5</v>
      </c>
      <c r="S133" s="2"/>
      <c r="T133" s="2">
        <v>51</v>
      </c>
      <c r="U133" s="2"/>
      <c r="V133" s="10">
        <v>27347</v>
      </c>
      <c r="W133" s="10">
        <v>14803</v>
      </c>
      <c r="X133" s="10">
        <v>44</v>
      </c>
      <c r="Y133" s="10">
        <v>24</v>
      </c>
      <c r="Z133" s="2">
        <f t="shared" ref="Z133:AC133" si="148">_xlfn.RANK.EQ(V133,V$4:V$200)</f>
        <v>126</v>
      </c>
      <c r="AA133" s="2">
        <f t="shared" si="148"/>
        <v>172</v>
      </c>
      <c r="AB133" s="2">
        <f t="shared" si="148"/>
        <v>70</v>
      </c>
      <c r="AC133" s="2">
        <f t="shared" si="148"/>
        <v>120</v>
      </c>
      <c r="AD133" s="10">
        <f t="shared" si="2"/>
        <v>34</v>
      </c>
      <c r="AE133" s="2">
        <v>51</v>
      </c>
      <c r="AF133" s="10">
        <f t="shared" si="3"/>
        <v>24</v>
      </c>
      <c r="AG133" s="2">
        <v>60</v>
      </c>
      <c r="AH133" s="2"/>
      <c r="AI133" s="9">
        <f t="shared" si="100"/>
        <v>102</v>
      </c>
      <c r="AJ133" s="10">
        <f t="shared" si="84"/>
        <v>15</v>
      </c>
      <c r="AK133" s="10">
        <f t="shared" si="6"/>
        <v>6615</v>
      </c>
      <c r="AL133" s="9">
        <f t="shared" si="98"/>
        <v>102</v>
      </c>
      <c r="AM133" s="10">
        <f t="shared" si="85"/>
        <v>15</v>
      </c>
      <c r="AN133" s="10">
        <f t="shared" si="9"/>
        <v>6615</v>
      </c>
      <c r="AO133" s="10">
        <f t="shared" si="10"/>
        <v>0</v>
      </c>
    </row>
    <row r="134" spans="1:41">
      <c r="A134" s="3">
        <v>80054</v>
      </c>
      <c r="B134" s="2" t="s">
        <v>229</v>
      </c>
      <c r="C134" s="3" t="s">
        <v>46</v>
      </c>
      <c r="D134" s="3" t="s">
        <v>46</v>
      </c>
      <c r="E134" s="3" t="s">
        <v>46</v>
      </c>
      <c r="F134" s="3"/>
      <c r="G134" s="3" t="s">
        <v>230</v>
      </c>
      <c r="H134" s="3"/>
      <c r="I134" s="3" t="s">
        <v>54</v>
      </c>
      <c r="J134" s="3" t="s">
        <v>49</v>
      </c>
      <c r="K134" s="4"/>
      <c r="L134" s="3"/>
      <c r="M134" s="4"/>
      <c r="N134" s="2">
        <v>5</v>
      </c>
      <c r="O134" s="5" t="s">
        <v>55</v>
      </c>
      <c r="P134" s="25">
        <v>16.8</v>
      </c>
      <c r="Q134" s="26">
        <f t="shared" si="0"/>
        <v>529.20000000000005</v>
      </c>
      <c r="R134" s="27">
        <v>1.5</v>
      </c>
      <c r="S134" s="2"/>
      <c r="T134" s="2">
        <v>153</v>
      </c>
      <c r="U134" s="2"/>
      <c r="V134" s="10">
        <v>329662</v>
      </c>
      <c r="W134" s="10">
        <v>539315</v>
      </c>
      <c r="X134" s="10">
        <v>277</v>
      </c>
      <c r="Y134" s="10">
        <v>454</v>
      </c>
      <c r="Z134" s="2">
        <f t="shared" ref="Z134:AC134" si="149">_xlfn.RANK.EQ(V134,V$4:V$200)</f>
        <v>4</v>
      </c>
      <c r="AA134" s="2">
        <f t="shared" si="149"/>
        <v>3</v>
      </c>
      <c r="AB134" s="2">
        <f t="shared" si="149"/>
        <v>5</v>
      </c>
      <c r="AC134" s="2">
        <f t="shared" si="149"/>
        <v>4</v>
      </c>
      <c r="AD134" s="10">
        <f t="shared" si="2"/>
        <v>365.5</v>
      </c>
      <c r="AE134" s="2">
        <v>457</v>
      </c>
      <c r="AF134" s="10">
        <f t="shared" si="3"/>
        <v>454</v>
      </c>
      <c r="AG134" s="2">
        <v>180</v>
      </c>
      <c r="AH134" s="2">
        <v>400</v>
      </c>
      <c r="AI134" s="9">
        <f t="shared" si="100"/>
        <v>834</v>
      </c>
      <c r="AJ134" s="10">
        <f t="shared" si="84"/>
        <v>255</v>
      </c>
      <c r="AK134" s="10">
        <f t="shared" si="6"/>
        <v>134946</v>
      </c>
      <c r="AL134" s="9">
        <f t="shared" si="98"/>
        <v>834</v>
      </c>
      <c r="AM134" s="10">
        <f t="shared" si="85"/>
        <v>255</v>
      </c>
      <c r="AN134" s="10">
        <f t="shared" si="9"/>
        <v>134946</v>
      </c>
      <c r="AO134" s="10">
        <f t="shared" si="10"/>
        <v>0</v>
      </c>
    </row>
    <row r="135" spans="1:41">
      <c r="A135" s="3">
        <v>40050</v>
      </c>
      <c r="B135" s="2" t="s">
        <v>231</v>
      </c>
      <c r="C135" s="3"/>
      <c r="D135" s="3" t="s">
        <v>46</v>
      </c>
      <c r="E135" s="3" t="s">
        <v>46</v>
      </c>
      <c r="F135" s="3"/>
      <c r="G135" s="3" t="s">
        <v>230</v>
      </c>
      <c r="H135" s="3"/>
      <c r="I135" s="3" t="s">
        <v>54</v>
      </c>
      <c r="J135" s="3" t="s">
        <v>49</v>
      </c>
      <c r="K135" s="4"/>
      <c r="L135" s="3"/>
      <c r="M135" s="4"/>
      <c r="N135" s="2">
        <v>5</v>
      </c>
      <c r="O135" s="5" t="s">
        <v>55</v>
      </c>
      <c r="P135" s="25">
        <v>8.0500000000000007</v>
      </c>
      <c r="Q135" s="26">
        <f t="shared" si="0"/>
        <v>253.57500000000002</v>
      </c>
      <c r="R135" s="27">
        <v>1.5</v>
      </c>
      <c r="S135" s="2"/>
      <c r="T135" s="2">
        <v>102</v>
      </c>
      <c r="U135" s="2"/>
      <c r="V135" s="10">
        <v>113296</v>
      </c>
      <c r="W135" s="10">
        <v>104442</v>
      </c>
      <c r="X135" s="10">
        <v>197</v>
      </c>
      <c r="Y135" s="10">
        <v>184</v>
      </c>
      <c r="Z135" s="2">
        <f t="shared" ref="Z135:AC135" si="150">_xlfn.RANK.EQ(V135,V$4:V$200)</f>
        <v>32</v>
      </c>
      <c r="AA135" s="2">
        <f t="shared" si="150"/>
        <v>48</v>
      </c>
      <c r="AB135" s="2">
        <f t="shared" si="150"/>
        <v>8</v>
      </c>
      <c r="AC135" s="2">
        <f t="shared" si="150"/>
        <v>12</v>
      </c>
      <c r="AD135" s="10">
        <f t="shared" si="2"/>
        <v>190.5</v>
      </c>
      <c r="AE135" s="2">
        <v>50</v>
      </c>
      <c r="AF135" s="10">
        <f t="shared" si="3"/>
        <v>184</v>
      </c>
      <c r="AG135" s="2">
        <v>300</v>
      </c>
      <c r="AH135" s="2">
        <v>500</v>
      </c>
      <c r="AI135" s="9">
        <f t="shared" si="100"/>
        <v>387.75</v>
      </c>
      <c r="AJ135" s="10">
        <f t="shared" si="84"/>
        <v>0</v>
      </c>
      <c r="AK135" s="10">
        <f t="shared" si="6"/>
        <v>0</v>
      </c>
      <c r="AL135" s="9">
        <f t="shared" si="98"/>
        <v>387.75</v>
      </c>
      <c r="AM135" s="10">
        <f t="shared" si="85"/>
        <v>0</v>
      </c>
      <c r="AN135" s="10">
        <f t="shared" si="9"/>
        <v>0</v>
      </c>
      <c r="AO135" s="10">
        <f t="shared" si="10"/>
        <v>0</v>
      </c>
    </row>
    <row r="136" spans="1:41">
      <c r="A136" s="3">
        <v>80052</v>
      </c>
      <c r="B136" s="2" t="s">
        <v>232</v>
      </c>
      <c r="C136" s="3" t="s">
        <v>46</v>
      </c>
      <c r="D136" s="3" t="s">
        <v>46</v>
      </c>
      <c r="E136" s="3" t="s">
        <v>46</v>
      </c>
      <c r="F136" s="3"/>
      <c r="G136" s="3" t="s">
        <v>230</v>
      </c>
      <c r="H136" s="3"/>
      <c r="I136" s="3" t="s">
        <v>54</v>
      </c>
      <c r="J136" s="3" t="s">
        <v>49</v>
      </c>
      <c r="K136" s="4"/>
      <c r="L136" s="3"/>
      <c r="M136" s="4"/>
      <c r="N136" s="2">
        <v>5</v>
      </c>
      <c r="O136" s="5" t="s">
        <v>55</v>
      </c>
      <c r="P136" s="25">
        <v>27.65</v>
      </c>
      <c r="Q136" s="26">
        <f t="shared" si="0"/>
        <v>870.97499999999991</v>
      </c>
      <c r="R136" s="27">
        <v>1.5</v>
      </c>
      <c r="S136" s="2"/>
      <c r="T136" s="2">
        <v>102</v>
      </c>
      <c r="U136" s="2"/>
      <c r="V136" s="10">
        <v>51390</v>
      </c>
      <c r="W136" s="10">
        <v>66731</v>
      </c>
      <c r="X136" s="10">
        <v>27</v>
      </c>
      <c r="Y136" s="10">
        <v>35</v>
      </c>
      <c r="Z136" s="2">
        <f t="shared" ref="Z136:AC136" si="151">_xlfn.RANK.EQ(V136,V$4:V$200)</f>
        <v>89</v>
      </c>
      <c r="AA136" s="2">
        <f t="shared" si="151"/>
        <v>84</v>
      </c>
      <c r="AB136" s="2">
        <f t="shared" si="151"/>
        <v>100</v>
      </c>
      <c r="AC136" s="2">
        <f t="shared" si="151"/>
        <v>99</v>
      </c>
      <c r="AD136" s="10">
        <f t="shared" si="2"/>
        <v>31</v>
      </c>
      <c r="AE136" s="2">
        <v>166</v>
      </c>
      <c r="AF136" s="10">
        <f t="shared" si="3"/>
        <v>35</v>
      </c>
      <c r="AG136" s="2"/>
      <c r="AH136" s="2"/>
      <c r="AI136" s="9">
        <f t="shared" si="100"/>
        <v>154.5</v>
      </c>
      <c r="AJ136" s="10">
        <f t="shared" si="84"/>
        <v>25</v>
      </c>
      <c r="AK136" s="10">
        <f t="shared" si="6"/>
        <v>21774.374999999996</v>
      </c>
      <c r="AL136" s="9">
        <f t="shared" si="98"/>
        <v>154.5</v>
      </c>
      <c r="AM136" s="10">
        <f t="shared" si="85"/>
        <v>25</v>
      </c>
      <c r="AN136" s="10">
        <f t="shared" si="9"/>
        <v>21774.374999999996</v>
      </c>
      <c r="AO136" s="10">
        <f t="shared" si="10"/>
        <v>0</v>
      </c>
    </row>
    <row r="137" spans="1:41">
      <c r="A137" s="3">
        <v>80060</v>
      </c>
      <c r="B137" s="2" t="s">
        <v>233</v>
      </c>
      <c r="C137" s="3"/>
      <c r="D137" s="3" t="s">
        <v>46</v>
      </c>
      <c r="E137" s="3" t="s">
        <v>46</v>
      </c>
      <c r="F137" s="3"/>
      <c r="G137" s="3" t="s">
        <v>230</v>
      </c>
      <c r="H137" s="3"/>
      <c r="I137" s="3" t="s">
        <v>54</v>
      </c>
      <c r="J137" s="3" t="s">
        <v>49</v>
      </c>
      <c r="K137" s="4"/>
      <c r="L137" s="3"/>
      <c r="M137" s="4"/>
      <c r="N137" s="2">
        <v>5</v>
      </c>
      <c r="O137" s="5" t="s">
        <v>55</v>
      </c>
      <c r="P137" s="25">
        <v>14.7</v>
      </c>
      <c r="Q137" s="26">
        <f t="shared" si="0"/>
        <v>463.04999999999995</v>
      </c>
      <c r="R137" s="27">
        <v>1.5</v>
      </c>
      <c r="S137" s="2"/>
      <c r="T137" s="2">
        <v>51</v>
      </c>
      <c r="U137" s="2"/>
      <c r="V137" s="10">
        <v>16459</v>
      </c>
      <c r="W137" s="10">
        <v>26799</v>
      </c>
      <c r="X137" s="10">
        <v>16</v>
      </c>
      <c r="Y137" s="10">
        <v>26</v>
      </c>
      <c r="Z137" s="2">
        <f t="shared" ref="Z137:AC137" si="152">_xlfn.RANK.EQ(V137,V$4:V$200)</f>
        <v>149</v>
      </c>
      <c r="AA137" s="2">
        <f t="shared" si="152"/>
        <v>152</v>
      </c>
      <c r="AB137" s="2">
        <f t="shared" si="152"/>
        <v>123</v>
      </c>
      <c r="AC137" s="2">
        <f t="shared" si="152"/>
        <v>113</v>
      </c>
      <c r="AD137" s="10">
        <f t="shared" si="2"/>
        <v>21</v>
      </c>
      <c r="AE137" s="2">
        <v>134</v>
      </c>
      <c r="AF137" s="10">
        <f t="shared" si="3"/>
        <v>26</v>
      </c>
      <c r="AG137" s="2"/>
      <c r="AH137" s="2"/>
      <c r="AI137" s="9">
        <f t="shared" si="100"/>
        <v>90</v>
      </c>
      <c r="AJ137" s="10">
        <f t="shared" si="84"/>
        <v>0</v>
      </c>
      <c r="AK137" s="10">
        <f t="shared" si="6"/>
        <v>0</v>
      </c>
      <c r="AL137" s="9">
        <f t="shared" si="98"/>
        <v>90</v>
      </c>
      <c r="AM137" s="10">
        <f t="shared" si="85"/>
        <v>0</v>
      </c>
      <c r="AN137" s="10">
        <f t="shared" si="9"/>
        <v>0</v>
      </c>
      <c r="AO137" s="10">
        <f t="shared" si="10"/>
        <v>0</v>
      </c>
    </row>
    <row r="138" spans="1:41">
      <c r="A138" s="3">
        <v>80065</v>
      </c>
      <c r="B138" s="2" t="s">
        <v>234</v>
      </c>
      <c r="C138" s="3"/>
      <c r="D138" s="3" t="s">
        <v>46</v>
      </c>
      <c r="E138" s="3" t="s">
        <v>46</v>
      </c>
      <c r="F138" s="3"/>
      <c r="G138" s="3" t="s">
        <v>230</v>
      </c>
      <c r="H138" s="3"/>
      <c r="I138" s="3" t="s">
        <v>54</v>
      </c>
      <c r="J138" s="3" t="s">
        <v>49</v>
      </c>
      <c r="K138" s="4"/>
      <c r="L138" s="3"/>
      <c r="M138" s="4"/>
      <c r="N138" s="2">
        <v>5</v>
      </c>
      <c r="O138" s="5" t="s">
        <v>55</v>
      </c>
      <c r="P138" s="25">
        <v>12.25</v>
      </c>
      <c r="Q138" s="26">
        <f t="shared" si="0"/>
        <v>385.875</v>
      </c>
      <c r="R138" s="27">
        <v>1.5</v>
      </c>
      <c r="S138" s="2"/>
      <c r="T138" s="2">
        <v>102</v>
      </c>
      <c r="U138" s="2"/>
      <c r="V138" s="10">
        <v>73262</v>
      </c>
      <c r="W138" s="10">
        <v>79907</v>
      </c>
      <c r="X138" s="10">
        <v>84</v>
      </c>
      <c r="Y138" s="10">
        <v>92</v>
      </c>
      <c r="Z138" s="2">
        <f t="shared" ref="Z138:AC138" si="153">_xlfn.RANK.EQ(V138,V$4:V$200)</f>
        <v>56</v>
      </c>
      <c r="AA138" s="2">
        <f t="shared" si="153"/>
        <v>67</v>
      </c>
      <c r="AB138" s="2">
        <f t="shared" si="153"/>
        <v>32</v>
      </c>
      <c r="AC138" s="2">
        <f t="shared" si="153"/>
        <v>37</v>
      </c>
      <c r="AD138" s="10">
        <f t="shared" si="2"/>
        <v>88</v>
      </c>
      <c r="AE138" s="2">
        <v>316</v>
      </c>
      <c r="AF138" s="10">
        <f t="shared" si="3"/>
        <v>92</v>
      </c>
      <c r="AG138" s="2"/>
      <c r="AH138" s="2"/>
      <c r="AI138" s="9">
        <f t="shared" si="100"/>
        <v>240</v>
      </c>
      <c r="AJ138" s="10">
        <f t="shared" si="84"/>
        <v>20</v>
      </c>
      <c r="AK138" s="10">
        <f t="shared" si="6"/>
        <v>7717.5</v>
      </c>
      <c r="AL138" s="9">
        <f t="shared" si="98"/>
        <v>240</v>
      </c>
      <c r="AM138" s="10">
        <f t="shared" si="85"/>
        <v>20</v>
      </c>
      <c r="AN138" s="10">
        <f t="shared" si="9"/>
        <v>7717.5</v>
      </c>
      <c r="AO138" s="10">
        <f t="shared" si="10"/>
        <v>0</v>
      </c>
    </row>
    <row r="139" spans="1:41">
      <c r="A139" s="3">
        <v>80022</v>
      </c>
      <c r="B139" s="2" t="s">
        <v>235</v>
      </c>
      <c r="C139" s="3" t="s">
        <v>46</v>
      </c>
      <c r="D139" s="3" t="s">
        <v>46</v>
      </c>
      <c r="E139" s="3" t="s">
        <v>46</v>
      </c>
      <c r="F139" s="3"/>
      <c r="G139" s="3" t="s">
        <v>230</v>
      </c>
      <c r="H139" s="3"/>
      <c r="I139" s="3" t="s">
        <v>54</v>
      </c>
      <c r="J139" s="3" t="s">
        <v>49</v>
      </c>
      <c r="K139" s="4"/>
      <c r="L139" s="3"/>
      <c r="M139" s="4"/>
      <c r="N139" s="2">
        <v>5</v>
      </c>
      <c r="O139" s="5" t="s">
        <v>55</v>
      </c>
      <c r="P139" s="25">
        <v>12.95</v>
      </c>
      <c r="Q139" s="26">
        <f t="shared" si="0"/>
        <v>407.92499999999995</v>
      </c>
      <c r="R139" s="27">
        <v>1.5</v>
      </c>
      <c r="S139" s="2"/>
      <c r="T139" s="2">
        <v>51</v>
      </c>
      <c r="U139" s="2"/>
      <c r="V139" s="10">
        <v>63543</v>
      </c>
      <c r="W139" s="10">
        <v>70272</v>
      </c>
      <c r="X139" s="10">
        <v>71</v>
      </c>
      <c r="Y139" s="10">
        <v>78</v>
      </c>
      <c r="Z139" s="2">
        <f t="shared" ref="Z139:AC139" si="154">_xlfn.RANK.EQ(V139,V$4:V$200)</f>
        <v>67</v>
      </c>
      <c r="AA139" s="2">
        <f t="shared" si="154"/>
        <v>78</v>
      </c>
      <c r="AB139" s="2">
        <f t="shared" si="154"/>
        <v>43</v>
      </c>
      <c r="AC139" s="2">
        <f t="shared" si="154"/>
        <v>46</v>
      </c>
      <c r="AD139" s="10">
        <f t="shared" si="2"/>
        <v>74.5</v>
      </c>
      <c r="AE139" s="2">
        <v>193</v>
      </c>
      <c r="AF139" s="10">
        <f t="shared" si="3"/>
        <v>78</v>
      </c>
      <c r="AG139" s="2">
        <v>60</v>
      </c>
      <c r="AH139" s="2"/>
      <c r="AI139" s="9">
        <f t="shared" si="100"/>
        <v>168</v>
      </c>
      <c r="AJ139" s="10">
        <f t="shared" si="84"/>
        <v>0</v>
      </c>
      <c r="AK139" s="10">
        <f t="shared" si="6"/>
        <v>0</v>
      </c>
      <c r="AL139" s="9">
        <f t="shared" si="98"/>
        <v>168</v>
      </c>
      <c r="AM139" s="10">
        <f t="shared" si="85"/>
        <v>0</v>
      </c>
      <c r="AN139" s="10">
        <f t="shared" si="9"/>
        <v>0</v>
      </c>
      <c r="AO139" s="10">
        <f t="shared" si="10"/>
        <v>0</v>
      </c>
    </row>
    <row r="140" spans="1:41">
      <c r="A140" s="3">
        <v>80058</v>
      </c>
      <c r="B140" s="2" t="s">
        <v>236</v>
      </c>
      <c r="C140" s="3" t="s">
        <v>46</v>
      </c>
      <c r="D140" s="3" t="s">
        <v>46</v>
      </c>
      <c r="E140" s="3" t="s">
        <v>46</v>
      </c>
      <c r="F140" s="3"/>
      <c r="G140" s="3" t="s">
        <v>237</v>
      </c>
      <c r="H140" s="3"/>
      <c r="I140" s="3" t="s">
        <v>54</v>
      </c>
      <c r="J140" s="3" t="s">
        <v>115</v>
      </c>
      <c r="K140" s="4"/>
      <c r="L140" s="3"/>
      <c r="M140" s="4"/>
      <c r="N140" s="2">
        <v>5</v>
      </c>
      <c r="O140" s="5" t="s">
        <v>50</v>
      </c>
      <c r="P140" s="25">
        <v>765</v>
      </c>
      <c r="Q140" s="26">
        <f t="shared" si="0"/>
        <v>765</v>
      </c>
      <c r="R140" s="27">
        <v>1.5</v>
      </c>
      <c r="S140" s="2"/>
      <c r="T140" s="2">
        <v>51</v>
      </c>
      <c r="U140" s="2"/>
      <c r="V140" s="10">
        <v>33270</v>
      </c>
      <c r="W140" s="10">
        <v>26597</v>
      </c>
      <c r="X140" s="10">
        <v>25</v>
      </c>
      <c r="Y140" s="10">
        <v>20</v>
      </c>
      <c r="Z140" s="2">
        <f t="shared" ref="Z140:AC140" si="155">_xlfn.RANK.EQ(V140,V$4:V$200)</f>
        <v>114</v>
      </c>
      <c r="AA140" s="2">
        <f t="shared" si="155"/>
        <v>154</v>
      </c>
      <c r="AB140" s="2">
        <f t="shared" si="155"/>
        <v>106</v>
      </c>
      <c r="AC140" s="2">
        <f t="shared" si="155"/>
        <v>131</v>
      </c>
      <c r="AD140" s="10">
        <f t="shared" si="2"/>
        <v>22.5</v>
      </c>
      <c r="AE140" s="2">
        <v>149</v>
      </c>
      <c r="AF140" s="10">
        <f t="shared" si="3"/>
        <v>20</v>
      </c>
      <c r="AG140" s="2">
        <v>100</v>
      </c>
      <c r="AH140" s="2">
        <v>0</v>
      </c>
      <c r="AI140" s="9">
        <f t="shared" si="100"/>
        <v>84.75</v>
      </c>
      <c r="AJ140" s="10">
        <f t="shared" si="84"/>
        <v>0</v>
      </c>
      <c r="AK140" s="10">
        <f t="shared" si="6"/>
        <v>0</v>
      </c>
      <c r="AL140" s="9">
        <f t="shared" si="98"/>
        <v>84.75</v>
      </c>
      <c r="AM140" s="10">
        <f t="shared" si="85"/>
        <v>0</v>
      </c>
      <c r="AN140" s="10">
        <f t="shared" si="9"/>
        <v>0</v>
      </c>
      <c r="AO140" s="10">
        <f t="shared" si="10"/>
        <v>0</v>
      </c>
    </row>
    <row r="141" spans="1:41">
      <c r="A141" s="3">
        <v>80059</v>
      </c>
      <c r="B141" s="2" t="s">
        <v>238</v>
      </c>
      <c r="C141" s="3" t="s">
        <v>46</v>
      </c>
      <c r="D141" s="3" t="s">
        <v>46</v>
      </c>
      <c r="E141" s="3" t="s">
        <v>46</v>
      </c>
      <c r="F141" s="3"/>
      <c r="G141" s="3" t="s">
        <v>237</v>
      </c>
      <c r="H141" s="3"/>
      <c r="I141" s="3" t="s">
        <v>54</v>
      </c>
      <c r="J141" s="3" t="s">
        <v>115</v>
      </c>
      <c r="K141" s="4"/>
      <c r="L141" s="3"/>
      <c r="M141" s="4"/>
      <c r="N141" s="2">
        <v>5</v>
      </c>
      <c r="O141" s="5" t="s">
        <v>50</v>
      </c>
      <c r="P141" s="25">
        <v>986</v>
      </c>
      <c r="Q141" s="26">
        <f t="shared" si="0"/>
        <v>986</v>
      </c>
      <c r="R141" s="27">
        <v>1.5</v>
      </c>
      <c r="S141" s="2"/>
      <c r="T141" s="2">
        <v>51</v>
      </c>
      <c r="U141" s="2"/>
      <c r="V141" s="10">
        <v>25305</v>
      </c>
      <c r="W141" s="10">
        <v>20442</v>
      </c>
      <c r="X141" s="10">
        <v>15</v>
      </c>
      <c r="Y141" s="10">
        <v>12</v>
      </c>
      <c r="Z141" s="2">
        <f t="shared" ref="Z141:AC141" si="156">_xlfn.RANK.EQ(V141,V$4:V$200)</f>
        <v>130</v>
      </c>
      <c r="AA141" s="2">
        <f t="shared" si="156"/>
        <v>161</v>
      </c>
      <c r="AB141" s="2">
        <f t="shared" si="156"/>
        <v>126</v>
      </c>
      <c r="AC141" s="2">
        <f t="shared" si="156"/>
        <v>161</v>
      </c>
      <c r="AD141" s="10">
        <f t="shared" si="2"/>
        <v>13.5</v>
      </c>
      <c r="AE141" s="2">
        <v>103</v>
      </c>
      <c r="AF141" s="10">
        <f t="shared" si="3"/>
        <v>12</v>
      </c>
      <c r="AG141" s="2"/>
      <c r="AH141" s="2">
        <v>0</v>
      </c>
      <c r="AI141" s="9">
        <f t="shared" si="100"/>
        <v>71.25</v>
      </c>
      <c r="AJ141" s="10">
        <f t="shared" si="84"/>
        <v>0</v>
      </c>
      <c r="AK141" s="10">
        <f t="shared" si="6"/>
        <v>0</v>
      </c>
      <c r="AL141" s="9">
        <f t="shared" si="98"/>
        <v>71.25</v>
      </c>
      <c r="AM141" s="10">
        <f t="shared" si="85"/>
        <v>0</v>
      </c>
      <c r="AN141" s="10">
        <f t="shared" si="9"/>
        <v>0</v>
      </c>
      <c r="AO141" s="10">
        <f t="shared" si="10"/>
        <v>0</v>
      </c>
    </row>
    <row r="142" spans="1:41">
      <c r="A142" s="3">
        <v>80062</v>
      </c>
      <c r="B142" s="2" t="s">
        <v>239</v>
      </c>
      <c r="C142" s="3"/>
      <c r="D142" s="3" t="s">
        <v>46</v>
      </c>
      <c r="E142" s="3" t="s">
        <v>60</v>
      </c>
      <c r="F142" s="3" t="s">
        <v>61</v>
      </c>
      <c r="G142" s="3" t="s">
        <v>240</v>
      </c>
      <c r="H142" s="3"/>
      <c r="I142" s="3" t="s">
        <v>221</v>
      </c>
      <c r="J142" s="3" t="s">
        <v>49</v>
      </c>
      <c r="K142" s="4"/>
      <c r="L142" s="3"/>
      <c r="M142" s="4"/>
      <c r="N142" s="2">
        <v>5</v>
      </c>
      <c r="O142" s="5" t="s">
        <v>55</v>
      </c>
      <c r="P142" s="25">
        <v>27.99</v>
      </c>
      <c r="Q142" s="26">
        <f t="shared" si="0"/>
        <v>881.68499999999995</v>
      </c>
      <c r="R142" s="27">
        <v>1.5</v>
      </c>
      <c r="S142" s="2"/>
      <c r="T142" s="2">
        <v>51</v>
      </c>
      <c r="U142" s="2"/>
      <c r="V142" s="10">
        <v>67217</v>
      </c>
      <c r="W142" s="10">
        <v>68456</v>
      </c>
      <c r="X142" s="10">
        <v>39</v>
      </c>
      <c r="Y142" s="10">
        <v>40</v>
      </c>
      <c r="Z142" s="2">
        <f t="shared" ref="Z142:AC142" si="157">_xlfn.RANK.EQ(V142,V$4:V$200)</f>
        <v>61</v>
      </c>
      <c r="AA142" s="2">
        <f t="shared" si="157"/>
        <v>81</v>
      </c>
      <c r="AB142" s="2">
        <f t="shared" si="157"/>
        <v>78</v>
      </c>
      <c r="AC142" s="2">
        <f t="shared" si="157"/>
        <v>90</v>
      </c>
      <c r="AD142" s="10">
        <f t="shared" si="2"/>
        <v>39.5</v>
      </c>
      <c r="AE142" s="2">
        <v>110</v>
      </c>
      <c r="AF142" s="10">
        <f t="shared" si="3"/>
        <v>40</v>
      </c>
      <c r="AG142" s="2"/>
      <c r="AH142" s="2"/>
      <c r="AI142" s="9">
        <f t="shared" si="100"/>
        <v>111</v>
      </c>
      <c r="AJ142" s="10">
        <f t="shared" si="84"/>
        <v>0</v>
      </c>
      <c r="AK142" s="10">
        <f t="shared" si="6"/>
        <v>0</v>
      </c>
      <c r="AL142" s="9">
        <f t="shared" si="98"/>
        <v>111</v>
      </c>
      <c r="AM142" s="10">
        <f t="shared" si="85"/>
        <v>0</v>
      </c>
      <c r="AN142" s="10">
        <f t="shared" si="9"/>
        <v>0</v>
      </c>
      <c r="AO142" s="10">
        <f t="shared" si="10"/>
        <v>0</v>
      </c>
    </row>
    <row r="143" spans="1:41">
      <c r="A143" s="3">
        <v>80064</v>
      </c>
      <c r="B143" s="2" t="s">
        <v>241</v>
      </c>
      <c r="C143" s="3"/>
      <c r="D143" s="3" t="s">
        <v>46</v>
      </c>
      <c r="E143" s="3" t="s">
        <v>46</v>
      </c>
      <c r="F143" s="3"/>
      <c r="G143" s="3" t="s">
        <v>240</v>
      </c>
      <c r="H143" s="3"/>
      <c r="I143" s="3" t="s">
        <v>221</v>
      </c>
      <c r="J143" s="3" t="s">
        <v>49</v>
      </c>
      <c r="K143" s="4"/>
      <c r="L143" s="3"/>
      <c r="M143" s="4"/>
      <c r="N143" s="2">
        <v>5</v>
      </c>
      <c r="O143" s="5" t="s">
        <v>55</v>
      </c>
      <c r="P143" s="25">
        <v>39.6</v>
      </c>
      <c r="Q143" s="26">
        <f t="shared" si="0"/>
        <v>1247.4000000000001</v>
      </c>
      <c r="R143" s="27">
        <v>1.5</v>
      </c>
      <c r="S143" s="2"/>
      <c r="T143" s="2">
        <v>51</v>
      </c>
      <c r="U143" s="2"/>
      <c r="V143" s="10">
        <v>85008</v>
      </c>
      <c r="W143" s="10">
        <v>82126</v>
      </c>
      <c r="X143" s="10">
        <v>35</v>
      </c>
      <c r="Y143" s="10">
        <v>34</v>
      </c>
      <c r="Z143" s="2">
        <f t="shared" ref="Z143:AC143" si="158">_xlfn.RANK.EQ(V143,V$4:V$200)</f>
        <v>51</v>
      </c>
      <c r="AA143" s="2">
        <f t="shared" si="158"/>
        <v>63</v>
      </c>
      <c r="AB143" s="2">
        <f t="shared" si="158"/>
        <v>86</v>
      </c>
      <c r="AC143" s="2">
        <f t="shared" si="158"/>
        <v>101</v>
      </c>
      <c r="AD143" s="10">
        <f t="shared" si="2"/>
        <v>34.5</v>
      </c>
      <c r="AE143" s="2">
        <v>85</v>
      </c>
      <c r="AF143" s="10">
        <f t="shared" si="3"/>
        <v>34</v>
      </c>
      <c r="AG143" s="2"/>
      <c r="AH143" s="2">
        <v>120</v>
      </c>
      <c r="AI143" s="9">
        <f t="shared" si="100"/>
        <v>102.75</v>
      </c>
      <c r="AJ143" s="10">
        <f t="shared" si="84"/>
        <v>0</v>
      </c>
      <c r="AK143" s="10">
        <f t="shared" si="6"/>
        <v>0</v>
      </c>
      <c r="AL143" s="9">
        <f t="shared" si="98"/>
        <v>102.75</v>
      </c>
      <c r="AM143" s="10">
        <f t="shared" si="85"/>
        <v>0</v>
      </c>
      <c r="AN143" s="10">
        <f t="shared" si="9"/>
        <v>0</v>
      </c>
      <c r="AO143" s="10">
        <f t="shared" si="10"/>
        <v>0</v>
      </c>
    </row>
    <row r="144" spans="1:41">
      <c r="A144" s="3">
        <v>80029</v>
      </c>
      <c r="B144" s="2" t="s">
        <v>242</v>
      </c>
      <c r="C144" s="3" t="s">
        <v>46</v>
      </c>
      <c r="D144" s="3" t="s">
        <v>46</v>
      </c>
      <c r="E144" s="3" t="s">
        <v>46</v>
      </c>
      <c r="F144" s="3"/>
      <c r="G144" s="3" t="s">
        <v>243</v>
      </c>
      <c r="H144" s="3"/>
      <c r="I144" s="3" t="s">
        <v>54</v>
      </c>
      <c r="J144" s="3" t="s">
        <v>115</v>
      </c>
      <c r="K144" s="4"/>
      <c r="L144" s="3"/>
      <c r="M144" s="4"/>
      <c r="N144" s="2">
        <v>5</v>
      </c>
      <c r="O144" s="5" t="s">
        <v>50</v>
      </c>
      <c r="P144" s="33">
        <v>1150</v>
      </c>
      <c r="Q144" s="26">
        <f t="shared" si="0"/>
        <v>1150</v>
      </c>
      <c r="R144" s="27">
        <v>1.5</v>
      </c>
      <c r="S144" s="2"/>
      <c r="T144" s="2">
        <v>153</v>
      </c>
      <c r="U144" s="2"/>
      <c r="V144" s="10">
        <v>128534</v>
      </c>
      <c r="W144" s="10">
        <v>173385</v>
      </c>
      <c r="X144" s="10">
        <v>70</v>
      </c>
      <c r="Y144" s="10">
        <v>95</v>
      </c>
      <c r="Z144" s="2">
        <f t="shared" ref="Z144:AC144" si="159">_xlfn.RANK.EQ(V144,V$4:V$200)</f>
        <v>22</v>
      </c>
      <c r="AA144" s="2">
        <f t="shared" si="159"/>
        <v>16</v>
      </c>
      <c r="AB144" s="2">
        <f t="shared" si="159"/>
        <v>44</v>
      </c>
      <c r="AC144" s="2">
        <f t="shared" si="159"/>
        <v>35</v>
      </c>
      <c r="AD144" s="10">
        <f t="shared" si="2"/>
        <v>82.5</v>
      </c>
      <c r="AE144" s="2">
        <v>383</v>
      </c>
      <c r="AF144" s="10">
        <f t="shared" si="3"/>
        <v>95</v>
      </c>
      <c r="AG144" s="2"/>
      <c r="AH144" s="2">
        <v>0</v>
      </c>
      <c r="AI144" s="9">
        <f t="shared" si="100"/>
        <v>295.5</v>
      </c>
      <c r="AJ144" s="10">
        <f t="shared" si="84"/>
        <v>10</v>
      </c>
      <c r="AK144" s="10">
        <f t="shared" si="6"/>
        <v>11500</v>
      </c>
      <c r="AL144" s="9">
        <f t="shared" si="98"/>
        <v>295.5</v>
      </c>
      <c r="AM144" s="10">
        <f t="shared" si="85"/>
        <v>10</v>
      </c>
      <c r="AN144" s="10">
        <f t="shared" si="9"/>
        <v>11500</v>
      </c>
      <c r="AO144" s="10">
        <f t="shared" si="10"/>
        <v>0</v>
      </c>
    </row>
    <row r="145" spans="1:41">
      <c r="A145" s="3">
        <v>50002</v>
      </c>
      <c r="B145" s="2" t="s">
        <v>244</v>
      </c>
      <c r="C145" s="3"/>
      <c r="D145" s="3" t="s">
        <v>46</v>
      </c>
      <c r="E145" s="3" t="s">
        <v>46</v>
      </c>
      <c r="F145" s="3"/>
      <c r="G145" s="3" t="s">
        <v>52</v>
      </c>
      <c r="H145" s="3"/>
      <c r="I145" s="3" t="s">
        <v>54</v>
      </c>
      <c r="J145" s="3" t="s">
        <v>49</v>
      </c>
      <c r="K145" s="4"/>
      <c r="L145" s="3" t="s">
        <v>55</v>
      </c>
      <c r="M145" s="4">
        <v>20000</v>
      </c>
      <c r="N145" s="2">
        <v>5</v>
      </c>
      <c r="O145" s="5" t="s">
        <v>55</v>
      </c>
      <c r="P145" s="25">
        <v>37.799999999999997</v>
      </c>
      <c r="Q145" s="26">
        <f t="shared" si="0"/>
        <v>1190.6999999999998</v>
      </c>
      <c r="R145" s="27">
        <v>2</v>
      </c>
      <c r="S145" s="2"/>
      <c r="T145" s="2">
        <v>51</v>
      </c>
      <c r="U145" s="2"/>
      <c r="V145" s="10">
        <v>23944</v>
      </c>
      <c r="W145" s="10">
        <v>29056</v>
      </c>
      <c r="X145" s="10">
        <v>13</v>
      </c>
      <c r="Y145" s="10">
        <v>16</v>
      </c>
      <c r="Z145" s="2">
        <f t="shared" ref="Z145:AC145" si="160">_xlfn.RANK.EQ(V145,V$4:V$200)</f>
        <v>132</v>
      </c>
      <c r="AA145" s="2">
        <f t="shared" si="160"/>
        <v>142</v>
      </c>
      <c r="AB145" s="2">
        <f t="shared" si="160"/>
        <v>135</v>
      </c>
      <c r="AC145" s="2">
        <f t="shared" si="160"/>
        <v>147</v>
      </c>
      <c r="AD145" s="10">
        <f t="shared" si="2"/>
        <v>14.5</v>
      </c>
      <c r="AE145" s="2">
        <v>175</v>
      </c>
      <c r="AF145" s="10">
        <f t="shared" si="3"/>
        <v>16</v>
      </c>
      <c r="AG145" s="2"/>
      <c r="AH145" s="2"/>
      <c r="AI145" s="9">
        <f t="shared" si="100"/>
        <v>75</v>
      </c>
      <c r="AJ145" s="10">
        <f t="shared" si="84"/>
        <v>0</v>
      </c>
      <c r="AK145" s="10">
        <f t="shared" si="6"/>
        <v>0</v>
      </c>
      <c r="AL145" s="9">
        <f t="shared" si="98"/>
        <v>83</v>
      </c>
      <c r="AM145" s="10">
        <f t="shared" si="85"/>
        <v>0</v>
      </c>
      <c r="AN145" s="10">
        <f t="shared" si="9"/>
        <v>0</v>
      </c>
      <c r="AO145" s="10">
        <f t="shared" si="10"/>
        <v>0</v>
      </c>
    </row>
    <row r="146" spans="1:41">
      <c r="A146" s="3">
        <v>50029</v>
      </c>
      <c r="B146" s="2" t="s">
        <v>245</v>
      </c>
      <c r="C146" s="3"/>
      <c r="D146" s="3" t="s">
        <v>46</v>
      </c>
      <c r="E146" s="3" t="s">
        <v>46</v>
      </c>
      <c r="F146" s="3"/>
      <c r="G146" s="3" t="s">
        <v>246</v>
      </c>
      <c r="H146" s="3"/>
      <c r="I146" s="3" t="s">
        <v>54</v>
      </c>
      <c r="J146" s="3" t="s">
        <v>115</v>
      </c>
      <c r="K146" s="4"/>
      <c r="L146" s="3"/>
      <c r="M146" s="4"/>
      <c r="N146" s="2">
        <v>5</v>
      </c>
      <c r="O146" s="5" t="s">
        <v>50</v>
      </c>
      <c r="P146" s="25">
        <v>370</v>
      </c>
      <c r="Q146" s="26">
        <f t="shared" si="0"/>
        <v>370</v>
      </c>
      <c r="R146" s="27">
        <v>1.5</v>
      </c>
      <c r="S146" s="2"/>
      <c r="T146" s="2">
        <v>51</v>
      </c>
      <c r="U146" s="2"/>
      <c r="V146" s="10">
        <v>17333</v>
      </c>
      <c r="W146" s="10">
        <v>18016</v>
      </c>
      <c r="X146" s="10">
        <v>23</v>
      </c>
      <c r="Y146" s="10">
        <v>24</v>
      </c>
      <c r="Z146" s="2">
        <f t="shared" ref="Z146:AC146" si="161">_xlfn.RANK.EQ(V146,V$4:V$200)</f>
        <v>147</v>
      </c>
      <c r="AA146" s="2">
        <f t="shared" si="161"/>
        <v>165</v>
      </c>
      <c r="AB146" s="2">
        <f t="shared" si="161"/>
        <v>111</v>
      </c>
      <c r="AC146" s="2">
        <f t="shared" si="161"/>
        <v>120</v>
      </c>
      <c r="AD146" s="10">
        <f t="shared" si="2"/>
        <v>23.5</v>
      </c>
      <c r="AE146" s="2">
        <v>97</v>
      </c>
      <c r="AF146" s="10">
        <f t="shared" si="3"/>
        <v>24</v>
      </c>
      <c r="AG146" s="2"/>
      <c r="AH146" s="2">
        <v>0</v>
      </c>
      <c r="AI146" s="9">
        <f t="shared" si="100"/>
        <v>87</v>
      </c>
      <c r="AJ146" s="10">
        <f t="shared" si="84"/>
        <v>15</v>
      </c>
      <c r="AK146" s="10">
        <f t="shared" si="6"/>
        <v>5550</v>
      </c>
      <c r="AL146" s="9">
        <f t="shared" si="98"/>
        <v>87</v>
      </c>
      <c r="AM146" s="10">
        <f t="shared" si="85"/>
        <v>15</v>
      </c>
      <c r="AN146" s="10">
        <f t="shared" si="9"/>
        <v>5550</v>
      </c>
      <c r="AO146" s="10">
        <f t="shared" si="10"/>
        <v>0</v>
      </c>
    </row>
    <row r="147" spans="1:41">
      <c r="A147" s="3">
        <v>50024</v>
      </c>
      <c r="B147" s="2" t="s">
        <v>247</v>
      </c>
      <c r="C147" s="3" t="s">
        <v>46</v>
      </c>
      <c r="D147" s="3" t="s">
        <v>46</v>
      </c>
      <c r="E147" s="3" t="s">
        <v>60</v>
      </c>
      <c r="F147" s="3" t="s">
        <v>61</v>
      </c>
      <c r="G147" s="3" t="s">
        <v>248</v>
      </c>
      <c r="H147" s="3"/>
      <c r="I147" s="3" t="s">
        <v>114</v>
      </c>
      <c r="J147" s="3" t="s">
        <v>115</v>
      </c>
      <c r="K147" s="4">
        <f>50000/200</f>
        <v>250</v>
      </c>
      <c r="L147" s="3"/>
      <c r="M147" s="4"/>
      <c r="N147" s="2">
        <v>4</v>
      </c>
      <c r="O147" s="5" t="s">
        <v>50</v>
      </c>
      <c r="P147" s="25">
        <v>362</v>
      </c>
      <c r="Q147" s="26">
        <f t="shared" si="0"/>
        <v>362</v>
      </c>
      <c r="R147" s="27">
        <v>1.5</v>
      </c>
      <c r="S147" s="2"/>
      <c r="T147" s="2">
        <v>51</v>
      </c>
      <c r="U147" s="2"/>
      <c r="V147" s="10">
        <v>19932</v>
      </c>
      <c r="W147" s="10">
        <v>16546</v>
      </c>
      <c r="X147" s="10">
        <v>32</v>
      </c>
      <c r="Y147" s="10">
        <v>26</v>
      </c>
      <c r="Z147" s="2">
        <f t="shared" ref="Z147:AC147" si="162">_xlfn.RANK.EQ(V147,V$4:V$200)</f>
        <v>143</v>
      </c>
      <c r="AA147" s="2">
        <f t="shared" si="162"/>
        <v>171</v>
      </c>
      <c r="AB147" s="2">
        <f t="shared" si="162"/>
        <v>95</v>
      </c>
      <c r="AC147" s="2">
        <f t="shared" si="162"/>
        <v>113</v>
      </c>
      <c r="AD147" s="10">
        <f t="shared" si="2"/>
        <v>29</v>
      </c>
      <c r="AE147" s="2">
        <v>79</v>
      </c>
      <c r="AF147" s="10">
        <f t="shared" si="3"/>
        <v>26</v>
      </c>
      <c r="AG147" s="2"/>
      <c r="AH147" s="2">
        <v>0</v>
      </c>
      <c r="AI147" s="9">
        <f t="shared" si="100"/>
        <v>94.5</v>
      </c>
      <c r="AJ147" s="10">
        <f t="shared" si="84"/>
        <v>0</v>
      </c>
      <c r="AK147" s="10">
        <f t="shared" si="6"/>
        <v>0</v>
      </c>
      <c r="AL147" s="9">
        <f t="shared" si="98"/>
        <v>94.5</v>
      </c>
      <c r="AM147" s="10">
        <f t="shared" si="85"/>
        <v>0</v>
      </c>
      <c r="AN147" s="10">
        <f t="shared" si="9"/>
        <v>0</v>
      </c>
      <c r="AO147" s="10">
        <f t="shared" si="10"/>
        <v>0</v>
      </c>
    </row>
    <row r="148" spans="1:41">
      <c r="A148" s="3">
        <v>50017</v>
      </c>
      <c r="B148" s="2" t="s">
        <v>249</v>
      </c>
      <c r="C148" s="3" t="s">
        <v>46</v>
      </c>
      <c r="D148" s="3" t="s">
        <v>46</v>
      </c>
      <c r="E148" s="3" t="s">
        <v>46</v>
      </c>
      <c r="F148" s="3"/>
      <c r="G148" s="3" t="s">
        <v>250</v>
      </c>
      <c r="H148" s="3"/>
      <c r="I148" s="3" t="s">
        <v>54</v>
      </c>
      <c r="J148" s="3" t="s">
        <v>115</v>
      </c>
      <c r="K148" s="4"/>
      <c r="L148" s="3"/>
      <c r="M148" s="4"/>
      <c r="N148" s="2">
        <v>5</v>
      </c>
      <c r="O148" s="5" t="s">
        <v>50</v>
      </c>
      <c r="P148" s="25">
        <v>847</v>
      </c>
      <c r="Q148" s="26">
        <f t="shared" si="0"/>
        <v>847</v>
      </c>
      <c r="R148" s="27">
        <v>1.5</v>
      </c>
      <c r="S148" s="2"/>
      <c r="T148" s="2">
        <v>51</v>
      </c>
      <c r="U148" s="2"/>
      <c r="V148" s="10">
        <v>47437</v>
      </c>
      <c r="W148" s="10">
        <v>63768</v>
      </c>
      <c r="X148" s="10">
        <v>35</v>
      </c>
      <c r="Y148" s="10">
        <v>47</v>
      </c>
      <c r="Z148" s="2">
        <f t="shared" ref="Z148:AC148" si="163">_xlfn.RANK.EQ(V148,V$4:V$200)</f>
        <v>96</v>
      </c>
      <c r="AA148" s="2">
        <f t="shared" si="163"/>
        <v>88</v>
      </c>
      <c r="AB148" s="2">
        <f t="shared" si="163"/>
        <v>86</v>
      </c>
      <c r="AC148" s="2">
        <f t="shared" si="163"/>
        <v>77</v>
      </c>
      <c r="AD148" s="10">
        <f t="shared" si="2"/>
        <v>41</v>
      </c>
      <c r="AE148" s="2">
        <v>178</v>
      </c>
      <c r="AF148" s="10">
        <f t="shared" si="3"/>
        <v>47</v>
      </c>
      <c r="AG148" s="2"/>
      <c r="AH148" s="2">
        <v>0</v>
      </c>
      <c r="AI148" s="9">
        <f t="shared" si="100"/>
        <v>121.5</v>
      </c>
      <c r="AJ148" s="10">
        <f t="shared" si="84"/>
        <v>0</v>
      </c>
      <c r="AK148" s="10">
        <f t="shared" si="6"/>
        <v>0</v>
      </c>
      <c r="AL148" s="9">
        <f t="shared" si="98"/>
        <v>121.5</v>
      </c>
      <c r="AM148" s="10">
        <f t="shared" si="85"/>
        <v>0</v>
      </c>
      <c r="AN148" s="10">
        <f t="shared" si="9"/>
        <v>0</v>
      </c>
      <c r="AO148" s="10">
        <f t="shared" si="10"/>
        <v>0</v>
      </c>
    </row>
    <row r="149" spans="1:41">
      <c r="A149" s="3">
        <v>60072</v>
      </c>
      <c r="B149" s="2" t="s">
        <v>251</v>
      </c>
      <c r="C149" s="3" t="s">
        <v>46</v>
      </c>
      <c r="D149" s="3" t="s">
        <v>46</v>
      </c>
      <c r="E149" s="3" t="s">
        <v>46</v>
      </c>
      <c r="F149" s="3"/>
      <c r="G149" s="3" t="s">
        <v>252</v>
      </c>
      <c r="H149" s="3"/>
      <c r="I149" s="3" t="s">
        <v>63</v>
      </c>
      <c r="J149" s="3" t="s">
        <v>115</v>
      </c>
      <c r="K149" s="4"/>
      <c r="L149" s="3"/>
      <c r="M149" s="4"/>
      <c r="N149" s="2">
        <v>20</v>
      </c>
      <c r="O149" s="5" t="s">
        <v>50</v>
      </c>
      <c r="P149" s="25">
        <v>800</v>
      </c>
      <c r="Q149" s="26">
        <f t="shared" si="0"/>
        <v>800</v>
      </c>
      <c r="R149" s="27">
        <v>1.5</v>
      </c>
      <c r="S149" s="2"/>
      <c r="T149" s="2">
        <v>51</v>
      </c>
      <c r="U149" s="2"/>
      <c r="V149" s="10">
        <v>30670</v>
      </c>
      <c r="W149" s="10">
        <v>30736</v>
      </c>
      <c r="X149" s="10">
        <v>25</v>
      </c>
      <c r="Y149" s="10">
        <v>25</v>
      </c>
      <c r="Z149" s="2">
        <f t="shared" ref="Z149:AC149" si="164">_xlfn.RANK.EQ(V149,V$4:V$200)</f>
        <v>121</v>
      </c>
      <c r="AA149" s="2">
        <f t="shared" si="164"/>
        <v>137</v>
      </c>
      <c r="AB149" s="2">
        <f t="shared" si="164"/>
        <v>106</v>
      </c>
      <c r="AC149" s="2">
        <f t="shared" si="164"/>
        <v>116</v>
      </c>
      <c r="AD149" s="10">
        <f t="shared" si="2"/>
        <v>25</v>
      </c>
      <c r="AE149" s="2">
        <v>136</v>
      </c>
      <c r="AF149" s="10">
        <f t="shared" si="3"/>
        <v>25</v>
      </c>
      <c r="AG149" s="2"/>
      <c r="AH149" s="2">
        <v>0</v>
      </c>
      <c r="AI149" s="9">
        <f t="shared" si="100"/>
        <v>88.5</v>
      </c>
      <c r="AJ149" s="10">
        <f t="shared" si="84"/>
        <v>0</v>
      </c>
      <c r="AK149" s="10">
        <f t="shared" si="6"/>
        <v>0</v>
      </c>
      <c r="AL149" s="9">
        <f t="shared" si="98"/>
        <v>88.5</v>
      </c>
      <c r="AM149" s="10">
        <f t="shared" si="85"/>
        <v>0</v>
      </c>
      <c r="AN149" s="10">
        <f t="shared" si="9"/>
        <v>0</v>
      </c>
      <c r="AO149" s="10">
        <f t="shared" si="10"/>
        <v>0</v>
      </c>
    </row>
    <row r="150" spans="1:41">
      <c r="A150" s="3">
        <v>60039</v>
      </c>
      <c r="B150" s="2" t="s">
        <v>253</v>
      </c>
      <c r="C150" s="3"/>
      <c r="D150" s="3" t="s">
        <v>46</v>
      </c>
      <c r="E150" s="3" t="s">
        <v>46</v>
      </c>
      <c r="F150" s="3"/>
      <c r="G150" s="3" t="s">
        <v>254</v>
      </c>
      <c r="H150" s="3"/>
      <c r="I150" s="3" t="s">
        <v>176</v>
      </c>
      <c r="J150" s="3" t="s">
        <v>49</v>
      </c>
      <c r="K150" s="4"/>
      <c r="L150" s="3"/>
      <c r="M150" s="4"/>
      <c r="N150" s="2">
        <v>6</v>
      </c>
      <c r="O150" s="5" t="s">
        <v>50</v>
      </c>
      <c r="P150" s="33">
        <v>2400</v>
      </c>
      <c r="Q150" s="26">
        <f t="shared" si="0"/>
        <v>2400</v>
      </c>
      <c r="R150" s="27">
        <v>1.5</v>
      </c>
      <c r="S150" s="2"/>
      <c r="T150" s="2">
        <v>51</v>
      </c>
      <c r="U150" s="2"/>
      <c r="V150" s="10">
        <v>59566</v>
      </c>
      <c r="W150" s="10">
        <v>86890</v>
      </c>
      <c r="X150" s="10">
        <v>15</v>
      </c>
      <c r="Y150" s="10">
        <v>22</v>
      </c>
      <c r="Z150" s="2">
        <f t="shared" ref="Z150:AC150" si="165">_xlfn.RANK.EQ(V150,V$4:V$200)</f>
        <v>75</v>
      </c>
      <c r="AA150" s="2">
        <f t="shared" si="165"/>
        <v>58</v>
      </c>
      <c r="AB150" s="2">
        <f t="shared" si="165"/>
        <v>126</v>
      </c>
      <c r="AC150" s="2">
        <f t="shared" si="165"/>
        <v>124</v>
      </c>
      <c r="AD150" s="10">
        <f t="shared" si="2"/>
        <v>18.5</v>
      </c>
      <c r="AE150" s="2">
        <v>195</v>
      </c>
      <c r="AF150" s="10">
        <f t="shared" si="3"/>
        <v>22</v>
      </c>
      <c r="AG150" s="2"/>
      <c r="AH150" s="2"/>
      <c r="AI150" s="9">
        <f t="shared" si="100"/>
        <v>84</v>
      </c>
      <c r="AJ150" s="10">
        <f t="shared" si="84"/>
        <v>0</v>
      </c>
      <c r="AK150" s="10">
        <f t="shared" si="6"/>
        <v>0</v>
      </c>
      <c r="AL150" s="9">
        <f t="shared" si="98"/>
        <v>84</v>
      </c>
      <c r="AM150" s="10">
        <f t="shared" si="85"/>
        <v>0</v>
      </c>
      <c r="AN150" s="10">
        <f t="shared" si="9"/>
        <v>0</v>
      </c>
      <c r="AO150" s="10">
        <f t="shared" si="10"/>
        <v>0</v>
      </c>
    </row>
    <row r="151" spans="1:41">
      <c r="A151" s="3">
        <v>60052</v>
      </c>
      <c r="B151" s="2" t="s">
        <v>255</v>
      </c>
      <c r="C151" s="3" t="s">
        <v>46</v>
      </c>
      <c r="D151" s="3" t="s">
        <v>46</v>
      </c>
      <c r="E151" s="3" t="s">
        <v>46</v>
      </c>
      <c r="F151" s="3"/>
      <c r="G151" s="3" t="s">
        <v>256</v>
      </c>
      <c r="H151" s="3"/>
      <c r="I151" s="3" t="s">
        <v>48</v>
      </c>
      <c r="J151" s="3" t="s">
        <v>49</v>
      </c>
      <c r="K151" s="4"/>
      <c r="L151" s="3"/>
      <c r="M151" s="4"/>
      <c r="N151" s="2">
        <v>6</v>
      </c>
      <c r="O151" s="5" t="s">
        <v>50</v>
      </c>
      <c r="P151" s="33">
        <v>1414</v>
      </c>
      <c r="Q151" s="26">
        <f t="shared" si="0"/>
        <v>1414</v>
      </c>
      <c r="R151" s="27">
        <v>1.5</v>
      </c>
      <c r="S151" s="2"/>
      <c r="T151" s="2">
        <v>51</v>
      </c>
      <c r="U151" s="2"/>
      <c r="V151" s="10">
        <v>97850</v>
      </c>
      <c r="W151" s="10">
        <v>94139</v>
      </c>
      <c r="X151" s="10">
        <v>47</v>
      </c>
      <c r="Y151" s="10">
        <v>45</v>
      </c>
      <c r="Z151" s="2">
        <f t="shared" ref="Z151:AC151" si="166">_xlfn.RANK.EQ(V151,V$4:V$200)</f>
        <v>42</v>
      </c>
      <c r="AA151" s="2">
        <f t="shared" si="166"/>
        <v>55</v>
      </c>
      <c r="AB151" s="2">
        <f t="shared" si="166"/>
        <v>62</v>
      </c>
      <c r="AC151" s="2">
        <f t="shared" si="166"/>
        <v>85</v>
      </c>
      <c r="AD151" s="10">
        <f t="shared" si="2"/>
        <v>46</v>
      </c>
      <c r="AE151" s="2">
        <v>554</v>
      </c>
      <c r="AF151" s="10">
        <f t="shared" si="3"/>
        <v>45</v>
      </c>
      <c r="AG151" s="2"/>
      <c r="AH151" s="2"/>
      <c r="AI151" s="9">
        <f t="shared" si="100"/>
        <v>120</v>
      </c>
      <c r="AJ151" s="10">
        <f t="shared" si="84"/>
        <v>0</v>
      </c>
      <c r="AK151" s="10">
        <f t="shared" si="6"/>
        <v>0</v>
      </c>
      <c r="AL151" s="9">
        <f t="shared" si="98"/>
        <v>120</v>
      </c>
      <c r="AM151" s="10">
        <f t="shared" si="85"/>
        <v>0</v>
      </c>
      <c r="AN151" s="10">
        <f t="shared" si="9"/>
        <v>0</v>
      </c>
      <c r="AO151" s="10">
        <f t="shared" si="10"/>
        <v>0</v>
      </c>
    </row>
    <row r="152" spans="1:41">
      <c r="A152" s="3">
        <v>60045</v>
      </c>
      <c r="B152" s="2" t="s">
        <v>257</v>
      </c>
      <c r="C152" s="3" t="s">
        <v>46</v>
      </c>
      <c r="D152" s="3" t="s">
        <v>46</v>
      </c>
      <c r="E152" s="3" t="s">
        <v>46</v>
      </c>
      <c r="F152" s="3"/>
      <c r="G152" s="3" t="s">
        <v>256</v>
      </c>
      <c r="H152" s="3"/>
      <c r="I152" s="3" t="s">
        <v>48</v>
      </c>
      <c r="J152" s="3" t="s">
        <v>49</v>
      </c>
      <c r="K152" s="4"/>
      <c r="L152" s="3"/>
      <c r="M152" s="4"/>
      <c r="N152" s="2">
        <v>6</v>
      </c>
      <c r="O152" s="5" t="s">
        <v>50</v>
      </c>
      <c r="P152" s="33">
        <v>1602</v>
      </c>
      <c r="Q152" s="26">
        <f t="shared" si="0"/>
        <v>1602</v>
      </c>
      <c r="R152" s="27">
        <v>1.5</v>
      </c>
      <c r="S152" s="2"/>
      <c r="T152" s="2">
        <v>51</v>
      </c>
      <c r="U152" s="2"/>
      <c r="V152" s="10">
        <v>126486</v>
      </c>
      <c r="W152" s="10">
        <v>106782</v>
      </c>
      <c r="X152" s="10">
        <v>53</v>
      </c>
      <c r="Y152" s="10">
        <v>45</v>
      </c>
      <c r="Z152" s="2">
        <f t="shared" ref="Z152:AC152" si="167">_xlfn.RANK.EQ(V152,V$4:V$200)</f>
        <v>24</v>
      </c>
      <c r="AA152" s="2">
        <f t="shared" si="167"/>
        <v>45</v>
      </c>
      <c r="AB152" s="2">
        <f t="shared" si="167"/>
        <v>58</v>
      </c>
      <c r="AC152" s="2">
        <f t="shared" si="167"/>
        <v>85</v>
      </c>
      <c r="AD152" s="10">
        <f t="shared" si="2"/>
        <v>49</v>
      </c>
      <c r="AE152" s="2">
        <v>457</v>
      </c>
      <c r="AF152" s="10">
        <f t="shared" si="3"/>
        <v>45</v>
      </c>
      <c r="AG152" s="2"/>
      <c r="AH152" s="2"/>
      <c r="AI152" s="9">
        <f t="shared" si="100"/>
        <v>124.5</v>
      </c>
      <c r="AJ152" s="10">
        <f t="shared" si="84"/>
        <v>0</v>
      </c>
      <c r="AK152" s="10">
        <f t="shared" si="6"/>
        <v>0</v>
      </c>
      <c r="AL152" s="9">
        <f t="shared" si="98"/>
        <v>124.5</v>
      </c>
      <c r="AM152" s="10">
        <f t="shared" si="85"/>
        <v>0</v>
      </c>
      <c r="AN152" s="10">
        <f t="shared" si="9"/>
        <v>0</v>
      </c>
      <c r="AO152" s="10">
        <f t="shared" si="10"/>
        <v>0</v>
      </c>
    </row>
    <row r="153" spans="1:41">
      <c r="A153" s="3">
        <v>60005</v>
      </c>
      <c r="B153" s="2" t="s">
        <v>258</v>
      </c>
      <c r="C153" s="3" t="s">
        <v>46</v>
      </c>
      <c r="D153" s="3" t="s">
        <v>46</v>
      </c>
      <c r="E153" s="3" t="s">
        <v>46</v>
      </c>
      <c r="F153" s="3"/>
      <c r="G153" s="3" t="s">
        <v>259</v>
      </c>
      <c r="H153" s="3"/>
      <c r="I153" s="3" t="s">
        <v>176</v>
      </c>
      <c r="J153" s="3" t="s">
        <v>49</v>
      </c>
      <c r="K153" s="4"/>
      <c r="L153" s="3"/>
      <c r="M153" s="4"/>
      <c r="N153" s="2">
        <v>6</v>
      </c>
      <c r="O153" s="5" t="s">
        <v>177</v>
      </c>
      <c r="P153" s="33">
        <v>1900</v>
      </c>
      <c r="Q153" s="26">
        <f t="shared" si="0"/>
        <v>380</v>
      </c>
      <c r="R153" s="27">
        <v>1.5</v>
      </c>
      <c r="S153" s="2"/>
      <c r="T153" s="2">
        <v>112</v>
      </c>
      <c r="U153" s="2"/>
      <c r="V153" s="10">
        <v>183778</v>
      </c>
      <c r="W153" s="10">
        <v>148738</v>
      </c>
      <c r="X153" s="10">
        <v>183</v>
      </c>
      <c r="Y153" s="10">
        <v>148</v>
      </c>
      <c r="Z153" s="2">
        <f t="shared" ref="Z153:AC153" si="168">_xlfn.RANK.EQ(V153,V$4:V$200)</f>
        <v>11</v>
      </c>
      <c r="AA153" s="2">
        <f t="shared" si="168"/>
        <v>23</v>
      </c>
      <c r="AB153" s="2">
        <f t="shared" si="168"/>
        <v>10</v>
      </c>
      <c r="AC153" s="2">
        <f t="shared" si="168"/>
        <v>19</v>
      </c>
      <c r="AD153" s="10">
        <f t="shared" si="2"/>
        <v>165.5</v>
      </c>
      <c r="AE153" s="2">
        <v>184</v>
      </c>
      <c r="AF153" s="10">
        <f t="shared" si="3"/>
        <v>148</v>
      </c>
      <c r="AG153" s="2">
        <v>60</v>
      </c>
      <c r="AH153" s="2">
        <v>210</v>
      </c>
      <c r="AI153" s="9">
        <f t="shared" si="100"/>
        <v>360.25</v>
      </c>
      <c r="AJ153" s="10">
        <f t="shared" si="84"/>
        <v>60</v>
      </c>
      <c r="AK153" s="10">
        <f t="shared" si="6"/>
        <v>22800</v>
      </c>
      <c r="AL153" s="9">
        <f t="shared" si="98"/>
        <v>360.25</v>
      </c>
      <c r="AM153" s="10">
        <f t="shared" si="85"/>
        <v>60</v>
      </c>
      <c r="AN153" s="10">
        <f t="shared" si="9"/>
        <v>22800</v>
      </c>
      <c r="AO153" s="10">
        <f t="shared" si="10"/>
        <v>0</v>
      </c>
    </row>
    <row r="154" spans="1:41">
      <c r="A154" s="3">
        <v>60073</v>
      </c>
      <c r="B154" s="2" t="s">
        <v>260</v>
      </c>
      <c r="C154" s="3"/>
      <c r="D154" s="3" t="s">
        <v>46</v>
      </c>
      <c r="E154" s="3" t="s">
        <v>60</v>
      </c>
      <c r="F154" s="3" t="s">
        <v>61</v>
      </c>
      <c r="G154" s="3" t="s">
        <v>259</v>
      </c>
      <c r="H154" s="3"/>
      <c r="I154" s="3" t="s">
        <v>176</v>
      </c>
      <c r="J154" s="3" t="s">
        <v>49</v>
      </c>
      <c r="K154" s="4"/>
      <c r="L154" s="3"/>
      <c r="M154" s="4"/>
      <c r="N154" s="2">
        <v>6</v>
      </c>
      <c r="O154" s="5" t="s">
        <v>177</v>
      </c>
      <c r="P154" s="33">
        <v>2480</v>
      </c>
      <c r="Q154" s="26">
        <f t="shared" si="0"/>
        <v>496</v>
      </c>
      <c r="R154" s="27">
        <v>1.5</v>
      </c>
      <c r="S154" s="2"/>
      <c r="T154" s="2">
        <v>51</v>
      </c>
      <c r="U154" s="2"/>
      <c r="V154" s="10">
        <v>61284</v>
      </c>
      <c r="W154" s="10">
        <v>44564</v>
      </c>
      <c r="X154" s="10">
        <v>40</v>
      </c>
      <c r="Y154" s="10">
        <v>29</v>
      </c>
      <c r="Z154" s="2">
        <f t="shared" ref="Z154:AC154" si="169">_xlfn.RANK.EQ(V154,V$4:V$200)</f>
        <v>70</v>
      </c>
      <c r="AA154" s="2">
        <f t="shared" si="169"/>
        <v>114</v>
      </c>
      <c r="AB154" s="2">
        <f t="shared" si="169"/>
        <v>75</v>
      </c>
      <c r="AC154" s="2">
        <f t="shared" si="169"/>
        <v>107</v>
      </c>
      <c r="AD154" s="10">
        <f t="shared" si="2"/>
        <v>34.5</v>
      </c>
      <c r="AE154" s="2">
        <v>151</v>
      </c>
      <c r="AF154" s="10">
        <f t="shared" si="3"/>
        <v>29</v>
      </c>
      <c r="AG154" s="2"/>
      <c r="AH154" s="2"/>
      <c r="AI154" s="9">
        <f t="shared" si="100"/>
        <v>102.75</v>
      </c>
      <c r="AJ154" s="10">
        <f t="shared" si="84"/>
        <v>0</v>
      </c>
      <c r="AK154" s="10">
        <f t="shared" si="6"/>
        <v>0</v>
      </c>
      <c r="AL154" s="9">
        <f t="shared" si="98"/>
        <v>102.75</v>
      </c>
      <c r="AM154" s="10">
        <f t="shared" si="85"/>
        <v>0</v>
      </c>
      <c r="AN154" s="10">
        <f t="shared" si="9"/>
        <v>0</v>
      </c>
      <c r="AO154" s="10">
        <f t="shared" si="10"/>
        <v>0</v>
      </c>
    </row>
    <row r="155" spans="1:41">
      <c r="A155" s="3">
        <v>60001</v>
      </c>
      <c r="B155" s="2" t="s">
        <v>261</v>
      </c>
      <c r="C155" s="3" t="s">
        <v>46</v>
      </c>
      <c r="D155" s="3" t="s">
        <v>46</v>
      </c>
      <c r="E155" s="3" t="s">
        <v>46</v>
      </c>
      <c r="F155" s="3"/>
      <c r="G155" s="3" t="s">
        <v>259</v>
      </c>
      <c r="H155" s="3"/>
      <c r="I155" s="3" t="s">
        <v>176</v>
      </c>
      <c r="J155" s="3" t="s">
        <v>49</v>
      </c>
      <c r="K155" s="4"/>
      <c r="L155" s="3"/>
      <c r="M155" s="4"/>
      <c r="N155" s="2">
        <v>6</v>
      </c>
      <c r="O155" s="5" t="s">
        <v>177</v>
      </c>
      <c r="P155" s="33">
        <v>2251</v>
      </c>
      <c r="Q155" s="26">
        <f t="shared" si="0"/>
        <v>450.20000000000005</v>
      </c>
      <c r="R155" s="27">
        <v>1.5</v>
      </c>
      <c r="S155" s="2"/>
      <c r="T155" s="2">
        <v>122</v>
      </c>
      <c r="U155" s="2"/>
      <c r="V155" s="10">
        <v>115720</v>
      </c>
      <c r="W155" s="10">
        <v>142680</v>
      </c>
      <c r="X155" s="10">
        <v>78</v>
      </c>
      <c r="Y155" s="10">
        <v>96</v>
      </c>
      <c r="Z155" s="2">
        <f t="shared" ref="Z155:AC155" si="170">_xlfn.RANK.EQ(V155,V$4:V$200)</f>
        <v>29</v>
      </c>
      <c r="AA155" s="2">
        <f t="shared" si="170"/>
        <v>25</v>
      </c>
      <c r="AB155" s="2">
        <f t="shared" si="170"/>
        <v>35</v>
      </c>
      <c r="AC155" s="2">
        <f t="shared" si="170"/>
        <v>34</v>
      </c>
      <c r="AD155" s="10">
        <f t="shared" si="2"/>
        <v>87</v>
      </c>
      <c r="AE155" s="2">
        <v>272</v>
      </c>
      <c r="AF155" s="10">
        <f t="shared" si="3"/>
        <v>96</v>
      </c>
      <c r="AG155" s="2">
        <v>120</v>
      </c>
      <c r="AH155" s="2">
        <v>120</v>
      </c>
      <c r="AI155" s="9">
        <f t="shared" si="100"/>
        <v>266</v>
      </c>
      <c r="AJ155" s="10">
        <f t="shared" si="84"/>
        <v>0</v>
      </c>
      <c r="AK155" s="10">
        <f t="shared" si="6"/>
        <v>0</v>
      </c>
      <c r="AL155" s="9">
        <f t="shared" si="98"/>
        <v>266</v>
      </c>
      <c r="AM155" s="10">
        <f t="shared" si="85"/>
        <v>0</v>
      </c>
      <c r="AN155" s="10">
        <f t="shared" si="9"/>
        <v>0</v>
      </c>
      <c r="AO155" s="10">
        <f t="shared" si="10"/>
        <v>0</v>
      </c>
    </row>
    <row r="156" spans="1:41">
      <c r="A156" s="3">
        <v>60009</v>
      </c>
      <c r="B156" s="2" t="s">
        <v>262</v>
      </c>
      <c r="C156" s="3" t="s">
        <v>46</v>
      </c>
      <c r="D156" s="3" t="s">
        <v>46</v>
      </c>
      <c r="E156" s="3" t="s">
        <v>46</v>
      </c>
      <c r="F156" s="3"/>
      <c r="G156" s="3" t="s">
        <v>259</v>
      </c>
      <c r="H156" s="3"/>
      <c r="I156" s="3" t="s">
        <v>176</v>
      </c>
      <c r="J156" s="3" t="s">
        <v>49</v>
      </c>
      <c r="K156" s="4"/>
      <c r="L156" s="3"/>
      <c r="M156" s="4"/>
      <c r="N156" s="2">
        <v>6</v>
      </c>
      <c r="O156" s="5" t="s">
        <v>177</v>
      </c>
      <c r="P156" s="33">
        <v>4000</v>
      </c>
      <c r="Q156" s="26">
        <f t="shared" si="0"/>
        <v>800</v>
      </c>
      <c r="R156" s="27">
        <v>1.5</v>
      </c>
      <c r="S156" s="2"/>
      <c r="T156" s="2">
        <v>122</v>
      </c>
      <c r="U156" s="2"/>
      <c r="V156" s="10">
        <v>82470</v>
      </c>
      <c r="W156" s="10">
        <v>105941</v>
      </c>
      <c r="X156" s="10">
        <v>46</v>
      </c>
      <c r="Y156" s="10">
        <v>59</v>
      </c>
      <c r="Z156" s="2">
        <f t="shared" ref="Z156:AC156" si="171">_xlfn.RANK.EQ(V156,V$4:V$200)</f>
        <v>53</v>
      </c>
      <c r="AA156" s="2">
        <f t="shared" si="171"/>
        <v>46</v>
      </c>
      <c r="AB156" s="2">
        <f t="shared" si="171"/>
        <v>65</v>
      </c>
      <c r="AC156" s="2">
        <f t="shared" si="171"/>
        <v>58</v>
      </c>
      <c r="AD156" s="10">
        <f t="shared" si="2"/>
        <v>52.5</v>
      </c>
      <c r="AE156" s="2">
        <v>259</v>
      </c>
      <c r="AF156" s="10">
        <f t="shared" si="3"/>
        <v>59</v>
      </c>
      <c r="AG156" s="2"/>
      <c r="AH156" s="2"/>
      <c r="AI156" s="9">
        <f t="shared" si="100"/>
        <v>210.5</v>
      </c>
      <c r="AJ156" s="10">
        <f t="shared" si="84"/>
        <v>12</v>
      </c>
      <c r="AK156" s="10">
        <f t="shared" si="6"/>
        <v>9600</v>
      </c>
      <c r="AL156" s="9">
        <f t="shared" si="98"/>
        <v>210.5</v>
      </c>
      <c r="AM156" s="10">
        <f t="shared" si="85"/>
        <v>12</v>
      </c>
      <c r="AN156" s="10">
        <f t="shared" si="9"/>
        <v>9600</v>
      </c>
      <c r="AO156" s="10">
        <f t="shared" si="10"/>
        <v>0</v>
      </c>
    </row>
    <row r="157" spans="1:41">
      <c r="A157" s="3">
        <v>60067</v>
      </c>
      <c r="B157" s="2" t="s">
        <v>263</v>
      </c>
      <c r="C157" s="3" t="s">
        <v>46</v>
      </c>
      <c r="D157" s="3" t="s">
        <v>46</v>
      </c>
      <c r="E157" s="3" t="s">
        <v>46</v>
      </c>
      <c r="F157" s="3"/>
      <c r="G157" s="3" t="s">
        <v>264</v>
      </c>
      <c r="H157" s="3"/>
      <c r="I157" s="3" t="s">
        <v>54</v>
      </c>
      <c r="J157" s="3" t="s">
        <v>115</v>
      </c>
      <c r="K157" s="4"/>
      <c r="L157" s="3"/>
      <c r="M157" s="4"/>
      <c r="N157" s="2">
        <v>5</v>
      </c>
      <c r="O157" s="5" t="s">
        <v>50</v>
      </c>
      <c r="P157" s="25">
        <v>609</v>
      </c>
      <c r="Q157" s="26">
        <f t="shared" si="0"/>
        <v>609</v>
      </c>
      <c r="R157" s="27">
        <v>1.5</v>
      </c>
      <c r="S157" s="2"/>
      <c r="T157" s="2">
        <v>51</v>
      </c>
      <c r="U157" s="2"/>
      <c r="V157" s="10">
        <v>8976</v>
      </c>
      <c r="W157" s="10">
        <v>14014</v>
      </c>
      <c r="X157" s="10">
        <v>9</v>
      </c>
      <c r="Y157" s="10">
        <v>14</v>
      </c>
      <c r="Z157" s="2">
        <f t="shared" ref="Z157:AC157" si="172">_xlfn.RANK.EQ(V157,V$4:V$200)</f>
        <v>160</v>
      </c>
      <c r="AA157" s="2">
        <f t="shared" si="172"/>
        <v>175</v>
      </c>
      <c r="AB157" s="2">
        <f t="shared" si="172"/>
        <v>150</v>
      </c>
      <c r="AC157" s="2">
        <f t="shared" si="172"/>
        <v>156</v>
      </c>
      <c r="AD157" s="10">
        <f t="shared" si="2"/>
        <v>11.5</v>
      </c>
      <c r="AE157" s="2">
        <v>241</v>
      </c>
      <c r="AF157" s="10">
        <f t="shared" si="3"/>
        <v>14</v>
      </c>
      <c r="AG157" s="2"/>
      <c r="AH157" s="2">
        <v>0</v>
      </c>
      <c r="AI157" s="9">
        <f t="shared" si="100"/>
        <v>72</v>
      </c>
      <c r="AJ157" s="10">
        <f t="shared" si="84"/>
        <v>0</v>
      </c>
      <c r="AK157" s="10">
        <f t="shared" si="6"/>
        <v>0</v>
      </c>
      <c r="AL157" s="9">
        <f t="shared" si="98"/>
        <v>72</v>
      </c>
      <c r="AM157" s="10">
        <f t="shared" si="85"/>
        <v>0</v>
      </c>
      <c r="AN157" s="10">
        <f t="shared" si="9"/>
        <v>0</v>
      </c>
      <c r="AO157" s="10">
        <f t="shared" si="10"/>
        <v>0</v>
      </c>
    </row>
    <row r="158" spans="1:41">
      <c r="A158" s="35" t="s">
        <v>265</v>
      </c>
      <c r="B158" s="2" t="s">
        <v>266</v>
      </c>
      <c r="C158" s="3" t="s">
        <v>46</v>
      </c>
      <c r="D158" s="3" t="s">
        <v>46</v>
      </c>
      <c r="E158" s="3" t="s">
        <v>46</v>
      </c>
      <c r="F158" s="3"/>
      <c r="G158" s="3" t="s">
        <v>47</v>
      </c>
      <c r="H158" s="3"/>
      <c r="I158" s="3" t="s">
        <v>48</v>
      </c>
      <c r="J158" s="3" t="s">
        <v>49</v>
      </c>
      <c r="K158" s="4">
        <v>1000</v>
      </c>
      <c r="L158" s="3"/>
      <c r="M158" s="4"/>
      <c r="N158" s="2">
        <v>5</v>
      </c>
      <c r="O158" s="5" t="s">
        <v>50</v>
      </c>
      <c r="P158" s="25">
        <v>88.8</v>
      </c>
      <c r="Q158" s="26">
        <f t="shared" si="0"/>
        <v>88.8</v>
      </c>
      <c r="R158" s="27">
        <v>1.5</v>
      </c>
      <c r="S158" s="2"/>
      <c r="T158" s="2">
        <v>102</v>
      </c>
      <c r="U158" s="2"/>
      <c r="V158" s="10">
        <v>34030</v>
      </c>
      <c r="W158" s="10">
        <v>22889</v>
      </c>
      <c r="X158" s="10">
        <v>158</v>
      </c>
      <c r="Y158" s="10">
        <v>106</v>
      </c>
      <c r="Z158" s="2">
        <f t="shared" ref="Z158:AC158" si="173">_xlfn.RANK.EQ(V158,V$4:V$200)</f>
        <v>112</v>
      </c>
      <c r="AA158" s="2">
        <f t="shared" si="173"/>
        <v>157</v>
      </c>
      <c r="AB158" s="2">
        <f t="shared" si="173"/>
        <v>13</v>
      </c>
      <c r="AC158" s="2">
        <f t="shared" si="173"/>
        <v>31</v>
      </c>
      <c r="AD158" s="10">
        <f t="shared" si="2"/>
        <v>132</v>
      </c>
      <c r="AE158" s="2">
        <v>157</v>
      </c>
      <c r="AF158" s="10">
        <f t="shared" si="3"/>
        <v>106</v>
      </c>
      <c r="AG158" s="2"/>
      <c r="AH158" s="2">
        <v>1000</v>
      </c>
      <c r="AI158" s="9">
        <f t="shared" si="100"/>
        <v>300</v>
      </c>
      <c r="AJ158" s="10">
        <f t="shared" si="84"/>
        <v>0</v>
      </c>
      <c r="AK158" s="10">
        <f t="shared" si="6"/>
        <v>0</v>
      </c>
      <c r="AL158" s="9">
        <f t="shared" si="98"/>
        <v>300</v>
      </c>
      <c r="AM158" s="10">
        <f t="shared" si="85"/>
        <v>0</v>
      </c>
      <c r="AN158" s="10">
        <f t="shared" si="9"/>
        <v>0</v>
      </c>
      <c r="AO158" s="10">
        <f t="shared" si="10"/>
        <v>0</v>
      </c>
    </row>
    <row r="159" spans="1:41">
      <c r="A159" s="35" t="s">
        <v>267</v>
      </c>
      <c r="B159" s="2" t="s">
        <v>268</v>
      </c>
      <c r="C159" s="3" t="s">
        <v>46</v>
      </c>
      <c r="D159" s="3" t="s">
        <v>46</v>
      </c>
      <c r="E159" s="3" t="s">
        <v>46</v>
      </c>
      <c r="F159" s="3"/>
      <c r="G159" s="3" t="s">
        <v>269</v>
      </c>
      <c r="H159" s="3"/>
      <c r="I159" s="3" t="s">
        <v>48</v>
      </c>
      <c r="J159" s="3" t="s">
        <v>49</v>
      </c>
      <c r="K159" s="4">
        <v>1400</v>
      </c>
      <c r="L159" s="3"/>
      <c r="M159" s="4"/>
      <c r="N159" s="2">
        <v>5</v>
      </c>
      <c r="O159" s="5" t="s">
        <v>50</v>
      </c>
      <c r="P159" s="25">
        <v>500</v>
      </c>
      <c r="Q159" s="26">
        <f t="shared" si="0"/>
        <v>500</v>
      </c>
      <c r="R159" s="27">
        <v>1.5</v>
      </c>
      <c r="S159" s="2"/>
      <c r="T159" s="2">
        <v>153</v>
      </c>
      <c r="U159" s="2"/>
      <c r="V159" s="10">
        <v>68368</v>
      </c>
      <c r="W159" s="10">
        <v>60753</v>
      </c>
      <c r="X159" s="10">
        <v>70</v>
      </c>
      <c r="Y159" s="10">
        <v>62</v>
      </c>
      <c r="Z159" s="2">
        <f t="shared" ref="Z159:AC159" si="174">_xlfn.RANK.EQ(V159,V$4:V$200)</f>
        <v>60</v>
      </c>
      <c r="AA159" s="2">
        <f t="shared" si="174"/>
        <v>91</v>
      </c>
      <c r="AB159" s="2">
        <f t="shared" si="174"/>
        <v>44</v>
      </c>
      <c r="AC159" s="2">
        <f t="shared" si="174"/>
        <v>53</v>
      </c>
      <c r="AD159" s="10">
        <f t="shared" si="2"/>
        <v>66</v>
      </c>
      <c r="AE159" s="2">
        <v>809</v>
      </c>
      <c r="AF159" s="10">
        <f t="shared" si="3"/>
        <v>62</v>
      </c>
      <c r="AG159" s="2"/>
      <c r="AH159" s="2"/>
      <c r="AI159" s="9">
        <f t="shared" si="100"/>
        <v>252</v>
      </c>
      <c r="AJ159" s="10">
        <f t="shared" si="84"/>
        <v>0</v>
      </c>
      <c r="AK159" s="10">
        <f t="shared" si="6"/>
        <v>0</v>
      </c>
      <c r="AL159" s="9">
        <f t="shared" si="98"/>
        <v>252</v>
      </c>
      <c r="AM159" s="10">
        <f t="shared" si="85"/>
        <v>0</v>
      </c>
      <c r="AN159" s="10">
        <f t="shared" si="9"/>
        <v>0</v>
      </c>
      <c r="AO159" s="10">
        <f t="shared" si="10"/>
        <v>0</v>
      </c>
    </row>
    <row r="160" spans="1:41">
      <c r="A160" s="35" t="s">
        <v>270</v>
      </c>
      <c r="B160" s="2" t="s">
        <v>271</v>
      </c>
      <c r="C160" s="3" t="s">
        <v>46</v>
      </c>
      <c r="D160" s="3" t="s">
        <v>46</v>
      </c>
      <c r="E160" s="3" t="s">
        <v>60</v>
      </c>
      <c r="F160" s="3" t="s">
        <v>61</v>
      </c>
      <c r="G160" s="3" t="s">
        <v>47</v>
      </c>
      <c r="H160" s="3"/>
      <c r="I160" s="3" t="s">
        <v>48</v>
      </c>
      <c r="J160" s="3" t="s">
        <v>49</v>
      </c>
      <c r="K160" s="4">
        <v>550</v>
      </c>
      <c r="L160" s="3"/>
      <c r="M160" s="4"/>
      <c r="N160" s="2">
        <v>5</v>
      </c>
      <c r="O160" s="5" t="s">
        <v>50</v>
      </c>
      <c r="P160" s="25">
        <v>74.25</v>
      </c>
      <c r="Q160" s="26">
        <f t="shared" si="0"/>
        <v>74.25</v>
      </c>
      <c r="R160" s="27">
        <v>1.5</v>
      </c>
      <c r="S160" s="2"/>
      <c r="T160" s="2">
        <v>51</v>
      </c>
      <c r="U160" s="2"/>
      <c r="V160" s="10">
        <v>7102</v>
      </c>
      <c r="W160" s="10">
        <v>4055</v>
      </c>
      <c r="X160" s="10">
        <v>33</v>
      </c>
      <c r="Y160" s="10">
        <v>19</v>
      </c>
      <c r="Z160" s="2">
        <f t="shared" ref="Z160:AC160" si="175">_xlfn.RANK.EQ(V160,V$4:V$200)</f>
        <v>164</v>
      </c>
      <c r="AA160" s="2">
        <f t="shared" si="175"/>
        <v>188</v>
      </c>
      <c r="AB160" s="2">
        <f t="shared" si="175"/>
        <v>92</v>
      </c>
      <c r="AC160" s="2">
        <f t="shared" si="175"/>
        <v>135</v>
      </c>
      <c r="AD160" s="10">
        <f t="shared" si="2"/>
        <v>26</v>
      </c>
      <c r="AE160" s="2">
        <v>90</v>
      </c>
      <c r="AF160" s="10">
        <f t="shared" si="3"/>
        <v>19</v>
      </c>
      <c r="AG160" s="2"/>
      <c r="AH160" s="2"/>
      <c r="AI160" s="9">
        <f t="shared" si="100"/>
        <v>90</v>
      </c>
      <c r="AJ160" s="10">
        <f t="shared" si="84"/>
        <v>0</v>
      </c>
      <c r="AK160" s="10">
        <f t="shared" si="6"/>
        <v>0</v>
      </c>
      <c r="AL160" s="9">
        <f t="shared" si="98"/>
        <v>90</v>
      </c>
      <c r="AM160" s="10">
        <f t="shared" si="85"/>
        <v>0</v>
      </c>
      <c r="AN160" s="10">
        <f t="shared" si="9"/>
        <v>0</v>
      </c>
      <c r="AO160" s="10">
        <f t="shared" si="10"/>
        <v>0</v>
      </c>
    </row>
    <row r="161" spans="1:41">
      <c r="A161" s="35" t="s">
        <v>272</v>
      </c>
      <c r="B161" s="2" t="s">
        <v>273</v>
      </c>
      <c r="C161" s="3" t="s">
        <v>46</v>
      </c>
      <c r="D161" s="3" t="s">
        <v>46</v>
      </c>
      <c r="E161" s="3" t="s">
        <v>46</v>
      </c>
      <c r="F161" s="3"/>
      <c r="G161" s="3" t="s">
        <v>274</v>
      </c>
      <c r="H161" s="3"/>
      <c r="I161" s="3" t="s">
        <v>48</v>
      </c>
      <c r="J161" s="3" t="s">
        <v>49</v>
      </c>
      <c r="K161" s="4">
        <v>2400</v>
      </c>
      <c r="L161" s="3"/>
      <c r="M161" s="4"/>
      <c r="N161" s="2">
        <v>5</v>
      </c>
      <c r="O161" s="5" t="s">
        <v>50</v>
      </c>
      <c r="P161" s="25">
        <v>129</v>
      </c>
      <c r="Q161" s="26">
        <f t="shared" si="0"/>
        <v>129</v>
      </c>
      <c r="R161" s="27">
        <v>1.5</v>
      </c>
      <c r="S161" s="2"/>
      <c r="T161" s="2">
        <v>306</v>
      </c>
      <c r="U161" s="2"/>
      <c r="V161" s="10">
        <v>84286</v>
      </c>
      <c r="W161" s="10">
        <v>61499</v>
      </c>
      <c r="X161" s="10">
        <v>224</v>
      </c>
      <c r="Y161" s="10">
        <v>164</v>
      </c>
      <c r="Z161" s="2">
        <f t="shared" ref="Z161:AC161" si="176">_xlfn.RANK.EQ(V161,V$4:V$200)</f>
        <v>52</v>
      </c>
      <c r="AA161" s="2">
        <f t="shared" si="176"/>
        <v>89</v>
      </c>
      <c r="AB161" s="2">
        <f t="shared" si="176"/>
        <v>7</v>
      </c>
      <c r="AC161" s="2">
        <f t="shared" si="176"/>
        <v>16</v>
      </c>
      <c r="AD161" s="10">
        <f t="shared" si="2"/>
        <v>194</v>
      </c>
      <c r="AE161" s="10">
        <v>1061</v>
      </c>
      <c r="AF161" s="10">
        <f t="shared" si="3"/>
        <v>164</v>
      </c>
      <c r="AG161" s="2"/>
      <c r="AH161" s="2"/>
      <c r="AI161" s="9">
        <f t="shared" si="100"/>
        <v>597</v>
      </c>
      <c r="AJ161" s="10">
        <f t="shared" si="84"/>
        <v>0</v>
      </c>
      <c r="AK161" s="10">
        <f t="shared" si="6"/>
        <v>0</v>
      </c>
      <c r="AL161" s="9">
        <f t="shared" si="98"/>
        <v>597</v>
      </c>
      <c r="AM161" s="10">
        <f t="shared" si="85"/>
        <v>0</v>
      </c>
      <c r="AN161" s="10">
        <f t="shared" si="9"/>
        <v>0</v>
      </c>
      <c r="AO161" s="10">
        <f t="shared" si="10"/>
        <v>0</v>
      </c>
    </row>
    <row r="162" spans="1:41">
      <c r="A162" s="35" t="s">
        <v>275</v>
      </c>
      <c r="B162" s="2" t="s">
        <v>276</v>
      </c>
      <c r="C162" s="3" t="s">
        <v>46</v>
      </c>
      <c r="D162" s="3" t="s">
        <v>46</v>
      </c>
      <c r="E162" s="3" t="s">
        <v>46</v>
      </c>
      <c r="F162" s="3"/>
      <c r="G162" s="3" t="s">
        <v>277</v>
      </c>
      <c r="H162" s="3"/>
      <c r="I162" s="3" t="s">
        <v>63</v>
      </c>
      <c r="J162" s="3" t="s">
        <v>49</v>
      </c>
      <c r="K162" s="4">
        <v>1000</v>
      </c>
      <c r="L162" s="3"/>
      <c r="M162" s="4"/>
      <c r="N162" s="2">
        <v>5</v>
      </c>
      <c r="O162" s="5" t="s">
        <v>50</v>
      </c>
      <c r="P162" s="25">
        <v>540</v>
      </c>
      <c r="Q162" s="26">
        <f t="shared" si="0"/>
        <v>540</v>
      </c>
      <c r="R162" s="27">
        <v>1.5</v>
      </c>
      <c r="S162" s="2"/>
      <c r="T162" s="2">
        <v>51</v>
      </c>
      <c r="U162" s="2"/>
      <c r="V162" s="10">
        <v>89872</v>
      </c>
      <c r="W162" s="10">
        <v>94492</v>
      </c>
      <c r="X162" s="10">
        <v>77</v>
      </c>
      <c r="Y162" s="10">
        <v>82</v>
      </c>
      <c r="Z162" s="2">
        <f t="shared" ref="Z162:AC162" si="177">_xlfn.RANK.EQ(V162,V$4:V$200)</f>
        <v>49</v>
      </c>
      <c r="AA162" s="2">
        <f t="shared" si="177"/>
        <v>53</v>
      </c>
      <c r="AB162" s="2">
        <f t="shared" si="177"/>
        <v>36</v>
      </c>
      <c r="AC162" s="2">
        <f t="shared" si="177"/>
        <v>44</v>
      </c>
      <c r="AD162" s="10">
        <f t="shared" si="2"/>
        <v>79.5</v>
      </c>
      <c r="AE162" s="2">
        <v>762</v>
      </c>
      <c r="AF162" s="10">
        <f t="shared" si="3"/>
        <v>82</v>
      </c>
      <c r="AG162" s="2"/>
      <c r="AH162" s="2">
        <v>1000</v>
      </c>
      <c r="AI162" s="9">
        <f t="shared" si="100"/>
        <v>174</v>
      </c>
      <c r="AJ162" s="10">
        <f t="shared" si="84"/>
        <v>0</v>
      </c>
      <c r="AK162" s="10">
        <f t="shared" si="6"/>
        <v>0</v>
      </c>
      <c r="AL162" s="9">
        <f t="shared" si="98"/>
        <v>174</v>
      </c>
      <c r="AM162" s="10">
        <f t="shared" si="85"/>
        <v>0</v>
      </c>
      <c r="AN162" s="10">
        <f t="shared" si="9"/>
        <v>0</v>
      </c>
      <c r="AO162" s="10">
        <f t="shared" si="10"/>
        <v>0</v>
      </c>
    </row>
    <row r="163" spans="1:41">
      <c r="A163" s="35" t="s">
        <v>278</v>
      </c>
      <c r="B163" s="2" t="s">
        <v>279</v>
      </c>
      <c r="C163" s="3" t="s">
        <v>46</v>
      </c>
      <c r="D163" s="3" t="s">
        <v>46</v>
      </c>
      <c r="E163" s="3" t="s">
        <v>46</v>
      </c>
      <c r="F163" s="3"/>
      <c r="G163" s="3" t="s">
        <v>280</v>
      </c>
      <c r="H163" s="3"/>
      <c r="I163" s="3" t="s">
        <v>48</v>
      </c>
      <c r="J163" s="3" t="s">
        <v>49</v>
      </c>
      <c r="K163" s="4">
        <v>2000</v>
      </c>
      <c r="L163" s="3"/>
      <c r="M163" s="4"/>
      <c r="N163" s="2">
        <v>5</v>
      </c>
      <c r="O163" s="5" t="s">
        <v>50</v>
      </c>
      <c r="P163" s="25">
        <v>227.7</v>
      </c>
      <c r="Q163" s="26">
        <f t="shared" si="0"/>
        <v>227.7</v>
      </c>
      <c r="R163" s="27">
        <v>1.5</v>
      </c>
      <c r="S163" s="2"/>
      <c r="T163" s="2">
        <v>102</v>
      </c>
      <c r="U163" s="2"/>
      <c r="V163" s="10">
        <v>120910</v>
      </c>
      <c r="W163" s="10">
        <v>103488</v>
      </c>
      <c r="X163" s="10">
        <v>225</v>
      </c>
      <c r="Y163" s="10">
        <v>193</v>
      </c>
      <c r="Z163" s="2">
        <f t="shared" ref="Z163:AC163" si="178">_xlfn.RANK.EQ(V163,V$4:V$200)</f>
        <v>26</v>
      </c>
      <c r="AA163" s="2">
        <f t="shared" si="178"/>
        <v>49</v>
      </c>
      <c r="AB163" s="2">
        <f t="shared" si="178"/>
        <v>6</v>
      </c>
      <c r="AC163" s="2">
        <f t="shared" si="178"/>
        <v>10</v>
      </c>
      <c r="AD163" s="10">
        <f t="shared" si="2"/>
        <v>209</v>
      </c>
      <c r="AE163" s="2">
        <v>269</v>
      </c>
      <c r="AF163" s="10">
        <f t="shared" si="3"/>
        <v>193</v>
      </c>
      <c r="AG163" s="2"/>
      <c r="AH163" s="2">
        <v>2000</v>
      </c>
      <c r="AI163" s="9">
        <f t="shared" si="100"/>
        <v>415.5</v>
      </c>
      <c r="AJ163" s="10">
        <f t="shared" si="84"/>
        <v>0</v>
      </c>
      <c r="AK163" s="10">
        <f t="shared" si="6"/>
        <v>0</v>
      </c>
      <c r="AL163" s="9">
        <f t="shared" si="98"/>
        <v>415.5</v>
      </c>
      <c r="AM163" s="10">
        <f t="shared" si="85"/>
        <v>0</v>
      </c>
      <c r="AN163" s="10">
        <f t="shared" si="9"/>
        <v>0</v>
      </c>
      <c r="AO163" s="10">
        <f t="shared" si="10"/>
        <v>0</v>
      </c>
    </row>
    <row r="164" spans="1:41">
      <c r="A164" s="3">
        <v>90059</v>
      </c>
      <c r="B164" s="2" t="s">
        <v>281</v>
      </c>
      <c r="C164" s="3" t="s">
        <v>46</v>
      </c>
      <c r="D164" s="3" t="s">
        <v>46</v>
      </c>
      <c r="E164" s="3" t="s">
        <v>46</v>
      </c>
      <c r="F164" s="3"/>
      <c r="G164" s="3" t="s">
        <v>75</v>
      </c>
      <c r="H164" s="3" t="s">
        <v>83</v>
      </c>
      <c r="I164" s="3" t="s">
        <v>48</v>
      </c>
      <c r="J164" s="3" t="s">
        <v>49</v>
      </c>
      <c r="K164" s="4"/>
      <c r="L164" s="3" t="s">
        <v>55</v>
      </c>
      <c r="M164" s="4">
        <v>6000</v>
      </c>
      <c r="N164" s="2">
        <v>5</v>
      </c>
      <c r="O164" s="5" t="s">
        <v>55</v>
      </c>
      <c r="P164" s="25">
        <v>0</v>
      </c>
      <c r="Q164" s="26">
        <f t="shared" si="0"/>
        <v>0</v>
      </c>
      <c r="R164" s="27">
        <v>1.5</v>
      </c>
      <c r="S164" s="2"/>
      <c r="T164" s="2">
        <v>306</v>
      </c>
      <c r="U164" s="2"/>
      <c r="V164" s="10">
        <v>0</v>
      </c>
      <c r="W164" s="10">
        <v>0</v>
      </c>
      <c r="X164" s="10">
        <v>197</v>
      </c>
      <c r="Y164" s="10">
        <v>177</v>
      </c>
      <c r="Z164" s="2">
        <f t="shared" ref="Z164:AC164" si="179">_xlfn.RANK.EQ(V164,V$4:V$200)</f>
        <v>168</v>
      </c>
      <c r="AA164" s="2">
        <f t="shared" si="179"/>
        <v>190</v>
      </c>
      <c r="AB164" s="2">
        <f t="shared" si="179"/>
        <v>8</v>
      </c>
      <c r="AC164" s="2">
        <f t="shared" si="179"/>
        <v>13</v>
      </c>
      <c r="AD164" s="10">
        <f t="shared" si="2"/>
        <v>187</v>
      </c>
      <c r="AE164" s="2">
        <v>754</v>
      </c>
      <c r="AF164" s="10">
        <f t="shared" si="3"/>
        <v>177</v>
      </c>
      <c r="AG164" s="2"/>
      <c r="AH164" s="2">
        <v>510</v>
      </c>
      <c r="AI164" s="9">
        <f t="shared" si="100"/>
        <v>586.5</v>
      </c>
      <c r="AJ164" s="10">
        <f t="shared" si="84"/>
        <v>0</v>
      </c>
      <c r="AK164" s="10">
        <f t="shared" si="6"/>
        <v>0</v>
      </c>
      <c r="AL164" s="9">
        <f t="shared" si="98"/>
        <v>586.5</v>
      </c>
      <c r="AM164" s="10">
        <f t="shared" si="85"/>
        <v>0</v>
      </c>
      <c r="AN164" s="10">
        <f t="shared" si="9"/>
        <v>0</v>
      </c>
      <c r="AO164" s="10">
        <f t="shared" si="10"/>
        <v>0</v>
      </c>
    </row>
    <row r="165" spans="1:41">
      <c r="A165" s="3">
        <v>90061</v>
      </c>
      <c r="B165" s="2" t="s">
        <v>282</v>
      </c>
      <c r="C165" s="3"/>
      <c r="D165" s="3" t="s">
        <v>46</v>
      </c>
      <c r="E165" s="3" t="s">
        <v>46</v>
      </c>
      <c r="F165" s="3"/>
      <c r="G165" s="3" t="s">
        <v>75</v>
      </c>
      <c r="H165" s="3"/>
      <c r="I165" s="3" t="s">
        <v>48</v>
      </c>
      <c r="J165" s="3" t="s">
        <v>49</v>
      </c>
      <c r="K165" s="4"/>
      <c r="L165" s="3"/>
      <c r="M165" s="4"/>
      <c r="N165" s="2">
        <v>5</v>
      </c>
      <c r="O165" s="5" t="s">
        <v>55</v>
      </c>
      <c r="P165" s="25">
        <v>0</v>
      </c>
      <c r="Q165" s="26">
        <f t="shared" si="0"/>
        <v>0</v>
      </c>
      <c r="R165" s="27">
        <v>1.5</v>
      </c>
      <c r="S165" s="2"/>
      <c r="T165" s="2">
        <v>51</v>
      </c>
      <c r="U165" s="2"/>
      <c r="V165" s="10">
        <v>0</v>
      </c>
      <c r="W165" s="10">
        <v>0</v>
      </c>
      <c r="X165" s="10">
        <v>9</v>
      </c>
      <c r="Y165" s="10">
        <v>19</v>
      </c>
      <c r="Z165" s="2">
        <f t="shared" ref="Z165:AC165" si="180">_xlfn.RANK.EQ(V165,V$4:V$200)</f>
        <v>168</v>
      </c>
      <c r="AA165" s="2">
        <f t="shared" si="180"/>
        <v>190</v>
      </c>
      <c r="AB165" s="2">
        <f t="shared" si="180"/>
        <v>150</v>
      </c>
      <c r="AC165" s="2">
        <f t="shared" si="180"/>
        <v>135</v>
      </c>
      <c r="AD165" s="10">
        <f t="shared" si="2"/>
        <v>14</v>
      </c>
      <c r="AE165" s="2">
        <v>141</v>
      </c>
      <c r="AF165" s="10">
        <f t="shared" si="3"/>
        <v>19</v>
      </c>
      <c r="AG165" s="2"/>
      <c r="AH165" s="2"/>
      <c r="AI165" s="9">
        <f t="shared" si="100"/>
        <v>79.5</v>
      </c>
      <c r="AJ165" s="10">
        <f t="shared" si="84"/>
        <v>0</v>
      </c>
      <c r="AK165" s="10">
        <f t="shared" si="6"/>
        <v>0</v>
      </c>
      <c r="AL165" s="9">
        <f t="shared" si="98"/>
        <v>79.5</v>
      </c>
      <c r="AM165" s="10">
        <f t="shared" si="85"/>
        <v>0</v>
      </c>
      <c r="AN165" s="10">
        <f t="shared" si="9"/>
        <v>0</v>
      </c>
      <c r="AO165" s="10">
        <f t="shared" si="10"/>
        <v>0</v>
      </c>
    </row>
    <row r="166" spans="1:41">
      <c r="A166" s="3">
        <v>90063</v>
      </c>
      <c r="B166" s="2" t="s">
        <v>283</v>
      </c>
      <c r="C166" s="3" t="s">
        <v>46</v>
      </c>
      <c r="D166" s="3" t="s">
        <v>46</v>
      </c>
      <c r="E166" s="3" t="s">
        <v>46</v>
      </c>
      <c r="F166" s="3"/>
      <c r="G166" s="3" t="s">
        <v>113</v>
      </c>
      <c r="H166" s="3"/>
      <c r="I166" s="3" t="s">
        <v>114</v>
      </c>
      <c r="J166" s="3" t="s">
        <v>115</v>
      </c>
      <c r="K166" s="4"/>
      <c r="L166" s="3"/>
      <c r="M166" s="4"/>
      <c r="N166" s="2">
        <v>5</v>
      </c>
      <c r="O166" s="5" t="s">
        <v>50</v>
      </c>
      <c r="P166" s="25">
        <v>0</v>
      </c>
      <c r="Q166" s="26">
        <f t="shared" si="0"/>
        <v>0</v>
      </c>
      <c r="R166" s="27">
        <v>1.5</v>
      </c>
      <c r="S166" s="2"/>
      <c r="T166" s="2">
        <v>51</v>
      </c>
      <c r="U166" s="2"/>
      <c r="V166" s="10">
        <v>0</v>
      </c>
      <c r="W166" s="10">
        <v>0</v>
      </c>
      <c r="X166" s="10">
        <v>12</v>
      </c>
      <c r="Y166" s="10">
        <v>22</v>
      </c>
      <c r="Z166" s="2">
        <f t="shared" ref="Z166:AC166" si="181">_xlfn.RANK.EQ(V166,V$4:V$200)</f>
        <v>168</v>
      </c>
      <c r="AA166" s="2">
        <f t="shared" si="181"/>
        <v>190</v>
      </c>
      <c r="AB166" s="2">
        <f t="shared" si="181"/>
        <v>140</v>
      </c>
      <c r="AC166" s="2">
        <f t="shared" si="181"/>
        <v>124</v>
      </c>
      <c r="AD166" s="10">
        <f t="shared" si="2"/>
        <v>17</v>
      </c>
      <c r="AE166" s="2">
        <v>78</v>
      </c>
      <c r="AF166" s="10">
        <f t="shared" si="3"/>
        <v>22</v>
      </c>
      <c r="AG166" s="2"/>
      <c r="AH166" s="2">
        <v>0</v>
      </c>
      <c r="AI166" s="9">
        <f t="shared" si="100"/>
        <v>84</v>
      </c>
      <c r="AJ166" s="10">
        <f t="shared" si="84"/>
        <v>30</v>
      </c>
      <c r="AK166" s="10">
        <f t="shared" si="6"/>
        <v>0</v>
      </c>
      <c r="AL166" s="9">
        <f t="shared" si="98"/>
        <v>84</v>
      </c>
      <c r="AM166" s="10">
        <f t="shared" si="85"/>
        <v>30</v>
      </c>
      <c r="AN166" s="10">
        <f t="shared" si="9"/>
        <v>0</v>
      </c>
      <c r="AO166" s="10">
        <f t="shared" si="10"/>
        <v>0</v>
      </c>
    </row>
    <row r="167" spans="1:41">
      <c r="A167" s="3">
        <v>90068</v>
      </c>
      <c r="B167" s="2" t="s">
        <v>284</v>
      </c>
      <c r="C167" s="3" t="s">
        <v>46</v>
      </c>
      <c r="D167" s="3" t="s">
        <v>46</v>
      </c>
      <c r="E167" s="3" t="s">
        <v>46</v>
      </c>
      <c r="F167" s="3"/>
      <c r="G167" s="3" t="s">
        <v>191</v>
      </c>
      <c r="H167" s="3"/>
      <c r="I167" s="3" t="s">
        <v>54</v>
      </c>
      <c r="J167" s="3" t="s">
        <v>49</v>
      </c>
      <c r="K167" s="4"/>
      <c r="L167" s="3"/>
      <c r="M167" s="4"/>
      <c r="N167" s="2">
        <v>5</v>
      </c>
      <c r="O167" s="5" t="s">
        <v>55</v>
      </c>
      <c r="P167" s="25">
        <v>0</v>
      </c>
      <c r="Q167" s="26">
        <f t="shared" si="0"/>
        <v>0</v>
      </c>
      <c r="R167" s="27">
        <v>1.5</v>
      </c>
      <c r="S167" s="2"/>
      <c r="T167" s="2">
        <v>51</v>
      </c>
      <c r="U167" s="2"/>
      <c r="V167" s="10">
        <v>0</v>
      </c>
      <c r="W167" s="10">
        <v>0</v>
      </c>
      <c r="X167" s="10">
        <v>5</v>
      </c>
      <c r="Y167" s="10">
        <v>8</v>
      </c>
      <c r="Z167" s="2">
        <f t="shared" ref="Z167:AC167" si="182">_xlfn.RANK.EQ(V167,V$4:V$200)</f>
        <v>168</v>
      </c>
      <c r="AA167" s="2">
        <f t="shared" si="182"/>
        <v>190</v>
      </c>
      <c r="AB167" s="2">
        <f t="shared" si="182"/>
        <v>165</v>
      </c>
      <c r="AC167" s="2">
        <f t="shared" si="182"/>
        <v>182</v>
      </c>
      <c r="AD167" s="10">
        <f t="shared" si="2"/>
        <v>6.5</v>
      </c>
      <c r="AE167" s="2">
        <v>259</v>
      </c>
      <c r="AF167" s="10">
        <f t="shared" si="3"/>
        <v>8</v>
      </c>
      <c r="AG167" s="2">
        <v>12</v>
      </c>
      <c r="AH167" s="2"/>
      <c r="AI167" s="9">
        <f t="shared" si="100"/>
        <v>63</v>
      </c>
      <c r="AJ167" s="10">
        <f t="shared" si="84"/>
        <v>0</v>
      </c>
      <c r="AK167" s="10">
        <f t="shared" si="6"/>
        <v>0</v>
      </c>
      <c r="AL167" s="9">
        <f t="shared" si="98"/>
        <v>63</v>
      </c>
      <c r="AM167" s="10">
        <f t="shared" si="85"/>
        <v>0</v>
      </c>
      <c r="AN167" s="10">
        <f t="shared" si="9"/>
        <v>0</v>
      </c>
      <c r="AO167" s="10">
        <f t="shared" si="10"/>
        <v>0</v>
      </c>
    </row>
    <row r="168" spans="1:41">
      <c r="A168" s="3">
        <v>90032</v>
      </c>
      <c r="B168" s="2" t="s">
        <v>285</v>
      </c>
      <c r="C168" s="3" t="s">
        <v>46</v>
      </c>
      <c r="D168" s="3" t="s">
        <v>46</v>
      </c>
      <c r="E168" s="3" t="s">
        <v>46</v>
      </c>
      <c r="F168" s="3"/>
      <c r="G168" s="3" t="s">
        <v>191</v>
      </c>
      <c r="H168" s="3"/>
      <c r="I168" s="3" t="s">
        <v>54</v>
      </c>
      <c r="J168" s="3" t="s">
        <v>49</v>
      </c>
      <c r="K168" s="4"/>
      <c r="L168" s="3"/>
      <c r="M168" s="4"/>
      <c r="N168" s="2">
        <v>5</v>
      </c>
      <c r="O168" s="5" t="s">
        <v>55</v>
      </c>
      <c r="P168" s="25">
        <v>0</v>
      </c>
      <c r="Q168" s="26">
        <f t="shared" si="0"/>
        <v>0</v>
      </c>
      <c r="R168" s="27">
        <v>4</v>
      </c>
      <c r="S168" s="2"/>
      <c r="T168" s="2">
        <v>102</v>
      </c>
      <c r="U168" s="2"/>
      <c r="V168" s="10">
        <v>0</v>
      </c>
      <c r="W168" s="10">
        <v>0</v>
      </c>
      <c r="X168" s="10">
        <v>8</v>
      </c>
      <c r="Y168" s="10">
        <v>10</v>
      </c>
      <c r="Z168" s="2">
        <f t="shared" ref="Z168:AC168" si="183">_xlfn.RANK.EQ(V168,V$4:V$200)</f>
        <v>168</v>
      </c>
      <c r="AA168" s="2">
        <f t="shared" si="183"/>
        <v>190</v>
      </c>
      <c r="AB168" s="2">
        <f t="shared" si="183"/>
        <v>155</v>
      </c>
      <c r="AC168" s="2">
        <f t="shared" si="183"/>
        <v>170</v>
      </c>
      <c r="AD168" s="10">
        <f t="shared" si="2"/>
        <v>9</v>
      </c>
      <c r="AE168" s="2">
        <v>207</v>
      </c>
      <c r="AF168" s="10">
        <f t="shared" si="3"/>
        <v>10</v>
      </c>
      <c r="AG168" s="2"/>
      <c r="AH168" s="2"/>
      <c r="AI168" s="9">
        <f t="shared" si="100"/>
        <v>117</v>
      </c>
      <c r="AJ168" s="10">
        <f t="shared" si="84"/>
        <v>0</v>
      </c>
      <c r="AK168" s="10">
        <f t="shared" si="6"/>
        <v>0</v>
      </c>
      <c r="AL168" s="9">
        <f t="shared" si="98"/>
        <v>142</v>
      </c>
      <c r="AM168" s="10">
        <f t="shared" si="85"/>
        <v>0</v>
      </c>
      <c r="AN168" s="10">
        <f t="shared" si="9"/>
        <v>0</v>
      </c>
      <c r="AO168" s="10">
        <f t="shared" si="10"/>
        <v>0</v>
      </c>
    </row>
    <row r="169" spans="1:41">
      <c r="A169" s="3">
        <v>90064</v>
      </c>
      <c r="B169" s="2" t="s">
        <v>286</v>
      </c>
      <c r="C169" s="3" t="s">
        <v>46</v>
      </c>
      <c r="D169" s="3" t="s">
        <v>46</v>
      </c>
      <c r="E169" s="3" t="s">
        <v>46</v>
      </c>
      <c r="F169" s="3"/>
      <c r="G169" s="3" t="s">
        <v>250</v>
      </c>
      <c r="H169" s="3"/>
      <c r="I169" s="3" t="s">
        <v>54</v>
      </c>
      <c r="J169" s="3" t="s">
        <v>115</v>
      </c>
      <c r="K169" s="4"/>
      <c r="L169" s="3"/>
      <c r="M169" s="4"/>
      <c r="N169" s="2">
        <v>5</v>
      </c>
      <c r="O169" s="5" t="s">
        <v>50</v>
      </c>
      <c r="P169" s="25">
        <v>0</v>
      </c>
      <c r="Q169" s="26">
        <f t="shared" si="0"/>
        <v>0</v>
      </c>
      <c r="R169" s="27">
        <v>1.5</v>
      </c>
      <c r="S169" s="2"/>
      <c r="T169" s="2">
        <v>51</v>
      </c>
      <c r="U169" s="2"/>
      <c r="V169" s="10">
        <v>0</v>
      </c>
      <c r="W169" s="10">
        <v>0</v>
      </c>
      <c r="X169" s="10">
        <v>33</v>
      </c>
      <c r="Y169" s="10">
        <v>46</v>
      </c>
      <c r="Z169" s="2">
        <f t="shared" ref="Z169:AC169" si="184">_xlfn.RANK.EQ(V169,V$4:V$200)</f>
        <v>168</v>
      </c>
      <c r="AA169" s="2">
        <f t="shared" si="184"/>
        <v>190</v>
      </c>
      <c r="AB169" s="2">
        <f t="shared" si="184"/>
        <v>92</v>
      </c>
      <c r="AC169" s="2">
        <f t="shared" si="184"/>
        <v>81</v>
      </c>
      <c r="AD169" s="10">
        <f t="shared" si="2"/>
        <v>39.5</v>
      </c>
      <c r="AE169" s="2">
        <v>223</v>
      </c>
      <c r="AF169" s="10">
        <f t="shared" si="3"/>
        <v>46</v>
      </c>
      <c r="AG169" s="2"/>
      <c r="AH169" s="2">
        <v>0</v>
      </c>
      <c r="AI169" s="9">
        <f t="shared" si="100"/>
        <v>120</v>
      </c>
      <c r="AJ169" s="10">
        <f t="shared" si="84"/>
        <v>0</v>
      </c>
      <c r="AK169" s="10">
        <f t="shared" si="6"/>
        <v>0</v>
      </c>
      <c r="AL169" s="9">
        <f t="shared" si="98"/>
        <v>120</v>
      </c>
      <c r="AM169" s="10">
        <f t="shared" si="85"/>
        <v>0</v>
      </c>
      <c r="AN169" s="10">
        <f t="shared" si="9"/>
        <v>0</v>
      </c>
      <c r="AO169" s="10">
        <f t="shared" si="10"/>
        <v>0</v>
      </c>
    </row>
    <row r="170" spans="1:41">
      <c r="A170" s="3">
        <v>90072</v>
      </c>
      <c r="B170" s="2" t="s">
        <v>287</v>
      </c>
      <c r="C170" s="3"/>
      <c r="D170" s="3" t="s">
        <v>46</v>
      </c>
      <c r="E170" s="3" t="s">
        <v>46</v>
      </c>
      <c r="F170" s="3"/>
      <c r="G170" s="3" t="s">
        <v>254</v>
      </c>
      <c r="H170" s="3"/>
      <c r="I170" s="3" t="s">
        <v>176</v>
      </c>
      <c r="J170" s="3" t="s">
        <v>49</v>
      </c>
      <c r="K170" s="4"/>
      <c r="L170" s="3"/>
      <c r="M170" s="4"/>
      <c r="N170" s="2">
        <v>5</v>
      </c>
      <c r="O170" s="5" t="s">
        <v>50</v>
      </c>
      <c r="P170" s="25">
        <v>0</v>
      </c>
      <c r="Q170" s="26">
        <f t="shared" si="0"/>
        <v>0</v>
      </c>
      <c r="R170" s="27">
        <v>1.5</v>
      </c>
      <c r="S170" s="2"/>
      <c r="T170" s="2">
        <v>51</v>
      </c>
      <c r="U170" s="2"/>
      <c r="V170" s="10">
        <v>0</v>
      </c>
      <c r="W170" s="10">
        <v>0</v>
      </c>
      <c r="X170" s="10">
        <v>13</v>
      </c>
      <c r="Y170" s="10">
        <v>12</v>
      </c>
      <c r="Z170" s="2">
        <f t="shared" ref="Z170:AC170" si="185">_xlfn.RANK.EQ(V170,V$4:V$200)</f>
        <v>168</v>
      </c>
      <c r="AA170" s="2">
        <f t="shared" si="185"/>
        <v>190</v>
      </c>
      <c r="AB170" s="2">
        <f t="shared" si="185"/>
        <v>135</v>
      </c>
      <c r="AC170" s="2">
        <f t="shared" si="185"/>
        <v>161</v>
      </c>
      <c r="AD170" s="10">
        <f t="shared" si="2"/>
        <v>12.5</v>
      </c>
      <c r="AE170" s="2">
        <v>197</v>
      </c>
      <c r="AF170" s="10">
        <f t="shared" si="3"/>
        <v>12</v>
      </c>
      <c r="AG170" s="2"/>
      <c r="AH170" s="2"/>
      <c r="AI170" s="9">
        <f t="shared" si="100"/>
        <v>69.75</v>
      </c>
      <c r="AJ170" s="10">
        <f t="shared" si="84"/>
        <v>0</v>
      </c>
      <c r="AK170" s="10">
        <f t="shared" si="6"/>
        <v>0</v>
      </c>
      <c r="AL170" s="9">
        <f t="shared" si="98"/>
        <v>69.75</v>
      </c>
      <c r="AM170" s="10">
        <f t="shared" si="85"/>
        <v>0</v>
      </c>
      <c r="AN170" s="10">
        <f t="shared" si="9"/>
        <v>0</v>
      </c>
      <c r="AO170" s="10">
        <f t="shared" si="10"/>
        <v>0</v>
      </c>
    </row>
    <row r="171" spans="1:41">
      <c r="A171" s="3" t="s">
        <v>288</v>
      </c>
      <c r="B171" s="2" t="s">
        <v>289</v>
      </c>
      <c r="C171" s="3" t="s">
        <v>290</v>
      </c>
      <c r="D171" s="3" t="s">
        <v>290</v>
      </c>
      <c r="E171" s="3" t="s">
        <v>290</v>
      </c>
      <c r="F171" s="3"/>
      <c r="G171" s="3" t="s">
        <v>291</v>
      </c>
      <c r="H171" s="3"/>
      <c r="I171" s="3" t="s">
        <v>221</v>
      </c>
      <c r="J171" s="3" t="s">
        <v>49</v>
      </c>
      <c r="K171" s="4">
        <v>400</v>
      </c>
      <c r="L171" s="3"/>
      <c r="M171" s="4"/>
      <c r="N171" s="2">
        <v>50</v>
      </c>
      <c r="O171" s="5" t="s">
        <v>50</v>
      </c>
      <c r="P171" s="25">
        <v>248</v>
      </c>
      <c r="Q171" s="26">
        <f t="shared" si="0"/>
        <v>248</v>
      </c>
      <c r="R171" s="27">
        <v>1.5</v>
      </c>
      <c r="S171" s="2"/>
      <c r="T171" s="2">
        <v>122</v>
      </c>
      <c r="U171" s="2"/>
      <c r="V171" s="10">
        <v>117000</v>
      </c>
      <c r="W171" s="10">
        <v>131820</v>
      </c>
      <c r="X171" s="10">
        <v>150</v>
      </c>
      <c r="Y171" s="10">
        <v>169</v>
      </c>
      <c r="Z171" s="2">
        <f t="shared" ref="Z171:AC171" si="186">_xlfn.RANK.EQ(V171,V$4:V$200)</f>
        <v>28</v>
      </c>
      <c r="AA171" s="2">
        <f t="shared" si="186"/>
        <v>34</v>
      </c>
      <c r="AB171" s="2">
        <f t="shared" si="186"/>
        <v>15</v>
      </c>
      <c r="AC171" s="2">
        <f t="shared" si="186"/>
        <v>14</v>
      </c>
      <c r="AD171" s="10">
        <f t="shared" si="2"/>
        <v>159.5</v>
      </c>
      <c r="AE171" s="10">
        <v>554</v>
      </c>
      <c r="AF171" s="10">
        <f t="shared" si="3"/>
        <v>169</v>
      </c>
      <c r="AG171" s="2"/>
      <c r="AH171" s="2"/>
      <c r="AI171" s="9">
        <f t="shared" si="100"/>
        <v>375.5</v>
      </c>
      <c r="AJ171" s="10">
        <f t="shared" ref="AJ171:AJ176" si="187">IF(N171="",MAX(AI171-(AE171-AF171)-AG171-AH171,0),CEILING(MAX(AI171-(AE171-AF171)-AG171-AH171,0),N171)
)</f>
        <v>0</v>
      </c>
      <c r="AK171" s="10">
        <f t="shared" si="6"/>
        <v>0</v>
      </c>
      <c r="AL171" s="9">
        <f t="shared" si="98"/>
        <v>375.5</v>
      </c>
      <c r="AM171" s="10">
        <f t="shared" si="85"/>
        <v>0</v>
      </c>
      <c r="AN171" s="10">
        <f t="shared" si="9"/>
        <v>0</v>
      </c>
      <c r="AO171" s="10">
        <f t="shared" si="10"/>
        <v>0</v>
      </c>
    </row>
    <row r="172" spans="1:41">
      <c r="A172" s="3" t="s">
        <v>292</v>
      </c>
      <c r="B172" s="2" t="s">
        <v>293</v>
      </c>
      <c r="C172" s="3" t="s">
        <v>290</v>
      </c>
      <c r="D172" s="3" t="s">
        <v>290</v>
      </c>
      <c r="E172" s="3" t="s">
        <v>290</v>
      </c>
      <c r="F172" s="3"/>
      <c r="G172" s="3" t="s">
        <v>291</v>
      </c>
      <c r="H172" s="3"/>
      <c r="I172" s="3" t="s">
        <v>221</v>
      </c>
      <c r="J172" s="3" t="s">
        <v>49</v>
      </c>
      <c r="K172" s="4">
        <v>400</v>
      </c>
      <c r="L172" s="3"/>
      <c r="M172" s="4"/>
      <c r="N172" s="2">
        <v>50</v>
      </c>
      <c r="O172" s="5" t="s">
        <v>50</v>
      </c>
      <c r="P172" s="25">
        <v>236</v>
      </c>
      <c r="Q172" s="26">
        <f t="shared" si="0"/>
        <v>236</v>
      </c>
      <c r="R172" s="27">
        <v>1.5</v>
      </c>
      <c r="S172" s="2"/>
      <c r="T172" s="2">
        <v>275</v>
      </c>
      <c r="U172" s="2"/>
      <c r="V172" s="10">
        <v>251940</v>
      </c>
      <c r="W172" s="10">
        <v>180960</v>
      </c>
      <c r="X172" s="10">
        <v>323</v>
      </c>
      <c r="Y172" s="10">
        <v>232</v>
      </c>
      <c r="Z172" s="2">
        <f t="shared" ref="Z172:AC172" si="188">_xlfn.RANK.EQ(V172,V$4:V$200)</f>
        <v>5</v>
      </c>
      <c r="AA172" s="2">
        <f t="shared" si="188"/>
        <v>14</v>
      </c>
      <c r="AB172" s="2">
        <f t="shared" si="188"/>
        <v>4</v>
      </c>
      <c r="AC172" s="2">
        <f t="shared" si="188"/>
        <v>7</v>
      </c>
      <c r="AD172" s="10">
        <f t="shared" si="2"/>
        <v>277.5</v>
      </c>
      <c r="AE172" s="10">
        <v>1136</v>
      </c>
      <c r="AF172" s="10">
        <f t="shared" si="3"/>
        <v>232</v>
      </c>
      <c r="AG172" s="2"/>
      <c r="AH172" s="2"/>
      <c r="AI172" s="9">
        <f t="shared" si="100"/>
        <v>691.25</v>
      </c>
      <c r="AJ172" s="10">
        <f t="shared" si="187"/>
        <v>0</v>
      </c>
      <c r="AK172" s="10">
        <f t="shared" si="6"/>
        <v>0</v>
      </c>
      <c r="AL172" s="9">
        <f t="shared" si="98"/>
        <v>691.25</v>
      </c>
      <c r="AM172" s="10">
        <f t="shared" si="85"/>
        <v>0</v>
      </c>
      <c r="AN172" s="10">
        <f t="shared" si="9"/>
        <v>0</v>
      </c>
      <c r="AO172" s="10">
        <f t="shared" si="10"/>
        <v>0</v>
      </c>
    </row>
    <row r="173" spans="1:41" ht="15.75" customHeight="1">
      <c r="A173" s="3" t="s">
        <v>294</v>
      </c>
      <c r="B173" s="2" t="s">
        <v>295</v>
      </c>
      <c r="C173" s="3" t="s">
        <v>290</v>
      </c>
      <c r="D173" s="3" t="s">
        <v>290</v>
      </c>
      <c r="E173" s="3" t="s">
        <v>290</v>
      </c>
      <c r="F173" s="3"/>
      <c r="G173" s="3" t="s">
        <v>296</v>
      </c>
      <c r="H173" s="3"/>
      <c r="I173" s="3" t="s">
        <v>221</v>
      </c>
      <c r="J173" s="3" t="s">
        <v>49</v>
      </c>
      <c r="K173" s="36"/>
      <c r="L173" s="3"/>
      <c r="M173" s="4"/>
      <c r="N173" s="2">
        <v>50</v>
      </c>
      <c r="O173" s="5" t="s">
        <v>55</v>
      </c>
      <c r="P173" s="25">
        <v>17.52</v>
      </c>
      <c r="Q173" s="26">
        <f t="shared" si="0"/>
        <v>551.88</v>
      </c>
      <c r="R173" s="37">
        <v>3</v>
      </c>
      <c r="S173" s="2"/>
      <c r="T173" s="2">
        <v>426</v>
      </c>
      <c r="U173" s="2"/>
      <c r="V173" s="10">
        <v>896800</v>
      </c>
      <c r="W173" s="10">
        <v>650400</v>
      </c>
      <c r="X173" s="10">
        <v>1120</v>
      </c>
      <c r="Y173" s="10">
        <v>813</v>
      </c>
      <c r="Z173" s="2">
        <f t="shared" ref="Z173:AC173" si="189">_xlfn.RANK.EQ(V173,V$4:V$200)</f>
        <v>1</v>
      </c>
      <c r="AA173" s="2">
        <f t="shared" si="189"/>
        <v>1</v>
      </c>
      <c r="AB173" s="2">
        <f t="shared" si="189"/>
        <v>1</v>
      </c>
      <c r="AC173" s="2">
        <f t="shared" si="189"/>
        <v>1</v>
      </c>
      <c r="AD173" s="10">
        <f t="shared" si="2"/>
        <v>966.5</v>
      </c>
      <c r="AE173" s="2">
        <v>550</v>
      </c>
      <c r="AF173" s="10">
        <f t="shared" si="3"/>
        <v>813</v>
      </c>
      <c r="AG173" s="10">
        <v>1000</v>
      </c>
      <c r="AH173" s="10"/>
      <c r="AI173" s="9">
        <f t="shared" si="100"/>
        <v>1875.75</v>
      </c>
      <c r="AJ173" s="10">
        <f t="shared" si="187"/>
        <v>1150</v>
      </c>
      <c r="AK173" s="10">
        <f t="shared" si="6"/>
        <v>634662</v>
      </c>
      <c r="AL173" s="9">
        <f t="shared" si="98"/>
        <v>3325.5</v>
      </c>
      <c r="AM173" s="10">
        <f t="shared" si="85"/>
        <v>2600</v>
      </c>
      <c r="AN173" s="10">
        <f t="shared" si="9"/>
        <v>1434888</v>
      </c>
      <c r="AO173" s="10">
        <f t="shared" si="10"/>
        <v>1450</v>
      </c>
    </row>
    <row r="174" spans="1:41" ht="15.75" customHeight="1">
      <c r="A174" s="3" t="s">
        <v>297</v>
      </c>
      <c r="B174" s="2" t="s">
        <v>298</v>
      </c>
      <c r="C174" s="3" t="s">
        <v>290</v>
      </c>
      <c r="D174" s="3" t="s">
        <v>290</v>
      </c>
      <c r="E174" s="3" t="s">
        <v>290</v>
      </c>
      <c r="F174" s="3"/>
      <c r="G174" s="3" t="s">
        <v>296</v>
      </c>
      <c r="H174" s="3"/>
      <c r="I174" s="3" t="s">
        <v>221</v>
      </c>
      <c r="J174" s="3" t="s">
        <v>49</v>
      </c>
      <c r="K174" s="36"/>
      <c r="L174" s="3"/>
      <c r="M174" s="4"/>
      <c r="N174" s="2">
        <v>50</v>
      </c>
      <c r="O174" s="5" t="s">
        <v>55</v>
      </c>
      <c r="P174" s="25">
        <v>17.52</v>
      </c>
      <c r="Q174" s="26">
        <f t="shared" si="0"/>
        <v>551.88</v>
      </c>
      <c r="R174" s="37">
        <v>3</v>
      </c>
      <c r="S174" s="2"/>
      <c r="T174" s="2">
        <v>386</v>
      </c>
      <c r="U174" s="2"/>
      <c r="V174" s="10">
        <v>636000</v>
      </c>
      <c r="W174" s="10">
        <v>468800</v>
      </c>
      <c r="X174" s="10">
        <v>795</v>
      </c>
      <c r="Y174" s="10">
        <v>586</v>
      </c>
      <c r="Z174" s="2">
        <f t="shared" ref="Z174:AC174" si="190">_xlfn.RANK.EQ(V174,V$4:V$200)</f>
        <v>3</v>
      </c>
      <c r="AA174" s="2">
        <f t="shared" si="190"/>
        <v>4</v>
      </c>
      <c r="AB174" s="2">
        <f t="shared" si="190"/>
        <v>2</v>
      </c>
      <c r="AC174" s="2">
        <f t="shared" si="190"/>
        <v>2</v>
      </c>
      <c r="AD174" s="10">
        <f t="shared" si="2"/>
        <v>690.5</v>
      </c>
      <c r="AE174" s="2">
        <v>193</v>
      </c>
      <c r="AF174" s="10">
        <f t="shared" si="3"/>
        <v>586</v>
      </c>
      <c r="AG174" s="10">
        <v>1200</v>
      </c>
      <c r="AH174" s="10"/>
      <c r="AI174" s="9">
        <f t="shared" si="100"/>
        <v>1421.75</v>
      </c>
      <c r="AJ174" s="10">
        <f t="shared" si="187"/>
        <v>650</v>
      </c>
      <c r="AK174" s="10">
        <f t="shared" si="6"/>
        <v>358722</v>
      </c>
      <c r="AL174" s="9">
        <f t="shared" si="98"/>
        <v>2457.5</v>
      </c>
      <c r="AM174" s="10">
        <f t="shared" si="85"/>
        <v>1700</v>
      </c>
      <c r="AN174" s="10">
        <f t="shared" si="9"/>
        <v>938196</v>
      </c>
      <c r="AO174" s="10">
        <f t="shared" si="10"/>
        <v>1050</v>
      </c>
    </row>
    <row r="175" spans="1:41">
      <c r="A175" s="3" t="s">
        <v>299</v>
      </c>
      <c r="B175" s="2" t="s">
        <v>300</v>
      </c>
      <c r="C175" s="3" t="s">
        <v>290</v>
      </c>
      <c r="D175" s="3" t="s">
        <v>290</v>
      </c>
      <c r="E175" s="3" t="s">
        <v>290</v>
      </c>
      <c r="F175" s="3" t="s">
        <v>61</v>
      </c>
      <c r="G175" s="3" t="s">
        <v>296</v>
      </c>
      <c r="H175" s="3"/>
      <c r="I175" s="3" t="s">
        <v>221</v>
      </c>
      <c r="J175" s="3" t="s">
        <v>49</v>
      </c>
      <c r="K175" s="4"/>
      <c r="L175" s="3"/>
      <c r="M175" s="4"/>
      <c r="N175" s="2">
        <v>50</v>
      </c>
      <c r="O175" s="5" t="s">
        <v>55</v>
      </c>
      <c r="P175" s="25">
        <v>13.8</v>
      </c>
      <c r="Q175" s="26">
        <f t="shared" si="0"/>
        <v>434.70000000000005</v>
      </c>
      <c r="R175" s="38">
        <v>1.5</v>
      </c>
      <c r="S175" s="2"/>
      <c r="T175" s="2">
        <v>122</v>
      </c>
      <c r="U175" s="2"/>
      <c r="V175" s="10">
        <v>132890</v>
      </c>
      <c r="W175" s="10">
        <v>119310</v>
      </c>
      <c r="X175" s="10">
        <v>137</v>
      </c>
      <c r="Y175" s="10">
        <v>123</v>
      </c>
      <c r="Z175" s="2">
        <f t="shared" ref="Z175:AC175" si="191">_xlfn.RANK.EQ(V175,V$4:V$200)</f>
        <v>20</v>
      </c>
      <c r="AA175" s="2">
        <f t="shared" si="191"/>
        <v>41</v>
      </c>
      <c r="AB175" s="2">
        <f t="shared" si="191"/>
        <v>16</v>
      </c>
      <c r="AC175" s="2">
        <f t="shared" si="191"/>
        <v>25</v>
      </c>
      <c r="AD175" s="10">
        <f t="shared" si="2"/>
        <v>130</v>
      </c>
      <c r="AE175" s="2">
        <v>497</v>
      </c>
      <c r="AF175" s="10">
        <f t="shared" si="3"/>
        <v>123</v>
      </c>
      <c r="AG175" s="2"/>
      <c r="AH175" s="2"/>
      <c r="AI175" s="9">
        <f t="shared" si="100"/>
        <v>317</v>
      </c>
      <c r="AJ175" s="10">
        <f t="shared" si="187"/>
        <v>0</v>
      </c>
      <c r="AK175" s="10">
        <f t="shared" si="6"/>
        <v>0</v>
      </c>
      <c r="AL175" s="9">
        <f t="shared" si="98"/>
        <v>317</v>
      </c>
      <c r="AM175" s="10">
        <f t="shared" si="85"/>
        <v>0</v>
      </c>
      <c r="AN175" s="10">
        <f t="shared" si="9"/>
        <v>0</v>
      </c>
      <c r="AO175" s="10">
        <f t="shared" si="10"/>
        <v>0</v>
      </c>
    </row>
    <row r="176" spans="1:41">
      <c r="A176" s="3" t="s">
        <v>301</v>
      </c>
      <c r="B176" s="2" t="s">
        <v>302</v>
      </c>
      <c r="C176" s="3" t="s">
        <v>290</v>
      </c>
      <c r="D176" s="3" t="s">
        <v>290</v>
      </c>
      <c r="E176" s="3" t="s">
        <v>290</v>
      </c>
      <c r="F176" s="3"/>
      <c r="G176" s="3" t="s">
        <v>296</v>
      </c>
      <c r="H176" s="3"/>
      <c r="I176" s="3" t="s">
        <v>221</v>
      </c>
      <c r="J176" s="3" t="s">
        <v>49</v>
      </c>
      <c r="K176" s="36"/>
      <c r="L176" s="3"/>
      <c r="M176" s="4"/>
      <c r="N176" s="2">
        <v>50</v>
      </c>
      <c r="O176" s="5" t="s">
        <v>55</v>
      </c>
      <c r="P176" s="6">
        <v>19.059999999999999</v>
      </c>
      <c r="Q176" s="26">
        <f t="shared" si="0"/>
        <v>600.39</v>
      </c>
      <c r="R176" s="27">
        <v>3</v>
      </c>
      <c r="S176" s="2"/>
      <c r="T176" s="2">
        <v>193</v>
      </c>
      <c r="U176" s="2"/>
      <c r="V176" s="10">
        <v>661540</v>
      </c>
      <c r="W176" s="10">
        <v>558720</v>
      </c>
      <c r="X176" s="10">
        <v>682</v>
      </c>
      <c r="Y176" s="10">
        <v>576</v>
      </c>
      <c r="Z176" s="2">
        <f t="shared" ref="Z176:AC176" si="192">_xlfn.RANK.EQ(V176,V$4:V$200)</f>
        <v>2</v>
      </c>
      <c r="AA176" s="2">
        <f t="shared" si="192"/>
        <v>2</v>
      </c>
      <c r="AB176" s="2">
        <f t="shared" si="192"/>
        <v>3</v>
      </c>
      <c r="AC176" s="2">
        <f t="shared" si="192"/>
        <v>3</v>
      </c>
      <c r="AD176" s="10">
        <f t="shared" si="2"/>
        <v>629</v>
      </c>
      <c r="AE176" s="2">
        <v>640</v>
      </c>
      <c r="AF176" s="10">
        <f t="shared" si="3"/>
        <v>576</v>
      </c>
      <c r="AG176" s="10">
        <v>1000</v>
      </c>
      <c r="AH176" s="2"/>
      <c r="AI176" s="9">
        <f t="shared" si="100"/>
        <v>1136.5</v>
      </c>
      <c r="AJ176" s="34">
        <f t="shared" si="187"/>
        <v>100</v>
      </c>
      <c r="AK176" s="10">
        <f t="shared" si="6"/>
        <v>60039</v>
      </c>
      <c r="AL176" s="9">
        <f t="shared" si="98"/>
        <v>2080</v>
      </c>
      <c r="AM176" s="10">
        <f t="shared" si="85"/>
        <v>1050</v>
      </c>
      <c r="AN176" s="10">
        <f t="shared" si="9"/>
        <v>630409.5</v>
      </c>
      <c r="AO176" s="10">
        <f t="shared" si="10"/>
        <v>950</v>
      </c>
    </row>
    <row r="177" spans="1:41">
      <c r="A177" s="3" t="s">
        <v>303</v>
      </c>
      <c r="B177" s="2" t="s">
        <v>304</v>
      </c>
      <c r="C177" s="3" t="s">
        <v>290</v>
      </c>
      <c r="D177" s="3" t="s">
        <v>290</v>
      </c>
      <c r="E177" s="3" t="s">
        <v>290</v>
      </c>
      <c r="F177" s="3" t="s">
        <v>61</v>
      </c>
      <c r="G177" s="3" t="s">
        <v>305</v>
      </c>
      <c r="H177" s="3"/>
      <c r="I177" s="3" t="s">
        <v>306</v>
      </c>
      <c r="J177" s="3" t="s">
        <v>49</v>
      </c>
      <c r="K177" s="36">
        <v>1014</v>
      </c>
      <c r="L177" s="3"/>
      <c r="M177" s="4"/>
      <c r="N177" s="2">
        <v>50</v>
      </c>
      <c r="O177" s="5" t="s">
        <v>55</v>
      </c>
      <c r="P177" s="6">
        <v>11.16</v>
      </c>
      <c r="Q177" s="26">
        <f t="shared" si="0"/>
        <v>351.54</v>
      </c>
      <c r="R177" s="27">
        <v>3</v>
      </c>
      <c r="S177" s="2"/>
      <c r="T177" s="2">
        <v>51</v>
      </c>
      <c r="U177" s="2"/>
      <c r="V177" s="10">
        <v>43070</v>
      </c>
      <c r="W177" s="10">
        <v>29500</v>
      </c>
      <c r="X177" s="10">
        <v>73</v>
      </c>
      <c r="Y177" s="10">
        <v>50</v>
      </c>
      <c r="Z177" s="2">
        <f t="shared" ref="Z177:AC177" si="193">_xlfn.RANK.EQ(V177,V$4:V$200)</f>
        <v>101</v>
      </c>
      <c r="AA177" s="2">
        <f t="shared" si="193"/>
        <v>140</v>
      </c>
      <c r="AB177" s="2">
        <f t="shared" si="193"/>
        <v>38</v>
      </c>
      <c r="AC177" s="2">
        <f t="shared" si="193"/>
        <v>73</v>
      </c>
      <c r="AD177" s="10">
        <f t="shared" si="2"/>
        <v>61.5</v>
      </c>
      <c r="AE177" s="2">
        <v>111</v>
      </c>
      <c r="AF177" s="10">
        <f t="shared" si="3"/>
        <v>50</v>
      </c>
      <c r="AG177" s="2"/>
      <c r="AH177" s="2"/>
      <c r="AI177" s="9">
        <f t="shared" si="100"/>
        <v>143.25</v>
      </c>
      <c r="AJ177" s="10">
        <v>0</v>
      </c>
      <c r="AK177" s="10">
        <f t="shared" si="6"/>
        <v>0</v>
      </c>
      <c r="AL177" s="9">
        <f t="shared" si="98"/>
        <v>235.5</v>
      </c>
      <c r="AM177" s="10">
        <f t="shared" si="85"/>
        <v>0</v>
      </c>
      <c r="AN177" s="10">
        <f t="shared" si="9"/>
        <v>0</v>
      </c>
      <c r="AO177" s="10">
        <f t="shared" si="10"/>
        <v>0</v>
      </c>
    </row>
    <row r="178" spans="1:41">
      <c r="A178" s="3" t="s">
        <v>307</v>
      </c>
      <c r="B178" s="2" t="s">
        <v>308</v>
      </c>
      <c r="C178" s="3" t="s">
        <v>290</v>
      </c>
      <c r="D178" s="3" t="s">
        <v>290</v>
      </c>
      <c r="E178" s="3" t="s">
        <v>290</v>
      </c>
      <c r="F178" s="3" t="s">
        <v>61</v>
      </c>
      <c r="G178" s="3" t="s">
        <v>305</v>
      </c>
      <c r="H178" s="3"/>
      <c r="I178" s="3" t="s">
        <v>306</v>
      </c>
      <c r="J178" s="3" t="s">
        <v>49</v>
      </c>
      <c r="K178" s="36">
        <v>389</v>
      </c>
      <c r="L178" s="3"/>
      <c r="M178" s="4"/>
      <c r="N178" s="2">
        <v>50</v>
      </c>
      <c r="O178" s="5" t="s">
        <v>55</v>
      </c>
      <c r="P178" s="25">
        <v>12.4</v>
      </c>
      <c r="Q178" s="26">
        <f t="shared" si="0"/>
        <v>390.6</v>
      </c>
      <c r="R178" s="27">
        <v>3</v>
      </c>
      <c r="S178" s="2"/>
      <c r="T178" s="2">
        <v>51</v>
      </c>
      <c r="U178" s="2"/>
      <c r="V178" s="10">
        <v>16520</v>
      </c>
      <c r="W178" s="10">
        <v>11800</v>
      </c>
      <c r="X178" s="10">
        <v>28</v>
      </c>
      <c r="Y178" s="10">
        <v>20</v>
      </c>
      <c r="Z178" s="2">
        <f t="shared" ref="Z178:AC178" si="194">_xlfn.RANK.EQ(V178,V$4:V$200)</f>
        <v>148</v>
      </c>
      <c r="AA178" s="2">
        <f t="shared" si="194"/>
        <v>181</v>
      </c>
      <c r="AB178" s="2">
        <f t="shared" si="194"/>
        <v>99</v>
      </c>
      <c r="AC178" s="2">
        <f t="shared" si="194"/>
        <v>131</v>
      </c>
      <c r="AD178" s="10">
        <f t="shared" si="2"/>
        <v>24</v>
      </c>
      <c r="AE178" s="2">
        <v>460</v>
      </c>
      <c r="AF178" s="10">
        <f t="shared" si="3"/>
        <v>20</v>
      </c>
      <c r="AG178" s="2"/>
      <c r="AH178" s="2"/>
      <c r="AI178" s="9">
        <f t="shared" si="100"/>
        <v>87</v>
      </c>
      <c r="AJ178" s="10">
        <v>0</v>
      </c>
      <c r="AK178" s="10">
        <f t="shared" si="6"/>
        <v>0</v>
      </c>
      <c r="AL178" s="9">
        <f t="shared" si="98"/>
        <v>123</v>
      </c>
      <c r="AM178" s="10">
        <f t="shared" si="85"/>
        <v>0</v>
      </c>
      <c r="AN178" s="10">
        <f t="shared" si="9"/>
        <v>0</v>
      </c>
      <c r="AO178" s="10">
        <f t="shared" si="10"/>
        <v>0</v>
      </c>
    </row>
    <row r="179" spans="1:41">
      <c r="A179" s="24" t="s">
        <v>309</v>
      </c>
      <c r="B179" s="2" t="s">
        <v>310</v>
      </c>
      <c r="C179" s="3"/>
      <c r="D179" s="3" t="s">
        <v>46</v>
      </c>
      <c r="E179" s="3" t="s">
        <v>46</v>
      </c>
      <c r="F179" s="3"/>
      <c r="G179" s="3" t="s">
        <v>311</v>
      </c>
      <c r="H179" s="3"/>
      <c r="I179" s="3" t="s">
        <v>221</v>
      </c>
      <c r="J179" s="3" t="s">
        <v>49</v>
      </c>
      <c r="K179" s="4">
        <v>3000</v>
      </c>
      <c r="L179" s="3"/>
      <c r="M179" s="4"/>
      <c r="N179" s="2"/>
      <c r="O179" s="5" t="s">
        <v>50</v>
      </c>
      <c r="P179" s="25">
        <v>235</v>
      </c>
      <c r="Q179" s="26">
        <f t="shared" si="0"/>
        <v>235</v>
      </c>
      <c r="R179" s="27">
        <v>1.5</v>
      </c>
      <c r="S179" s="2"/>
      <c r="T179" s="2">
        <v>173</v>
      </c>
      <c r="U179" s="2"/>
      <c r="V179" s="10">
        <v>0</v>
      </c>
      <c r="W179" s="10">
        <v>171387</v>
      </c>
      <c r="X179" s="10">
        <v>0</v>
      </c>
      <c r="Y179" s="10">
        <v>347</v>
      </c>
      <c r="Z179" s="2">
        <f t="shared" ref="Z179:AC179" si="195">_xlfn.RANK.EQ(V179,V$4:V$200)</f>
        <v>168</v>
      </c>
      <c r="AA179" s="2">
        <f t="shared" si="195"/>
        <v>17</v>
      </c>
      <c r="AB179" s="2">
        <f t="shared" si="195"/>
        <v>176</v>
      </c>
      <c r="AC179" s="2">
        <f t="shared" si="195"/>
        <v>5</v>
      </c>
      <c r="AD179" s="10">
        <f t="shared" si="2"/>
        <v>173.5</v>
      </c>
      <c r="AE179" s="10">
        <v>1260</v>
      </c>
      <c r="AF179" s="10">
        <f t="shared" si="3"/>
        <v>347</v>
      </c>
      <c r="AG179" s="2"/>
      <c r="AH179" s="2"/>
      <c r="AI179" s="9">
        <f t="shared" si="100"/>
        <v>693.5</v>
      </c>
      <c r="AJ179" s="10">
        <f t="shared" ref="AJ179:AJ200" si="196">IF(F179="V",0,
   IF(N179="",
      MAX(AI179-(AE179-AF179)-AG179-AH179,0),
      CEILING(MAX(AI179-(AE179-AF179)-AG179-AH179,0),N179)
   )
)</f>
        <v>0</v>
      </c>
      <c r="AK179" s="10">
        <f t="shared" si="6"/>
        <v>0</v>
      </c>
      <c r="AL179" s="9">
        <f t="shared" si="98"/>
        <v>693.5</v>
      </c>
      <c r="AM179" s="10">
        <f t="shared" si="85"/>
        <v>0</v>
      </c>
      <c r="AN179" s="10">
        <f t="shared" si="9"/>
        <v>0</v>
      </c>
      <c r="AO179" s="10">
        <f t="shared" si="10"/>
        <v>0</v>
      </c>
    </row>
    <row r="180" spans="1:41">
      <c r="A180" s="3">
        <v>10477</v>
      </c>
      <c r="B180" s="2" t="s">
        <v>312</v>
      </c>
      <c r="C180" s="3"/>
      <c r="D180" s="3" t="s">
        <v>46</v>
      </c>
      <c r="E180" s="3" t="s">
        <v>46</v>
      </c>
      <c r="F180" s="3"/>
      <c r="G180" s="3" t="s">
        <v>52</v>
      </c>
      <c r="H180" s="3"/>
      <c r="I180" s="3" t="s">
        <v>54</v>
      </c>
      <c r="J180" s="3" t="s">
        <v>49</v>
      </c>
      <c r="K180" s="4"/>
      <c r="L180" s="3"/>
      <c r="M180" s="4"/>
      <c r="N180" s="2">
        <v>5</v>
      </c>
      <c r="O180" s="5" t="s">
        <v>55</v>
      </c>
      <c r="P180" s="25">
        <v>19.350000000000001</v>
      </c>
      <c r="Q180" s="26">
        <f t="shared" si="0"/>
        <v>609.52500000000009</v>
      </c>
      <c r="R180" s="27">
        <v>2</v>
      </c>
      <c r="S180" s="2"/>
      <c r="T180" s="2">
        <v>51</v>
      </c>
      <c r="U180" s="2"/>
      <c r="V180" s="10">
        <v>0</v>
      </c>
      <c r="W180" s="10">
        <v>174090</v>
      </c>
      <c r="X180" s="10">
        <v>0</v>
      </c>
      <c r="Y180" s="10">
        <v>169</v>
      </c>
      <c r="Z180" s="2">
        <f t="shared" ref="Z180:AC180" si="197">_xlfn.RANK.EQ(V180,V$4:V$200)</f>
        <v>168</v>
      </c>
      <c r="AA180" s="2">
        <f t="shared" si="197"/>
        <v>15</v>
      </c>
      <c r="AB180" s="2">
        <f t="shared" si="197"/>
        <v>176</v>
      </c>
      <c r="AC180" s="2">
        <f t="shared" si="197"/>
        <v>14</v>
      </c>
      <c r="AD180" s="10">
        <f t="shared" si="2"/>
        <v>84.5</v>
      </c>
      <c r="AE180" s="2">
        <v>800</v>
      </c>
      <c r="AF180" s="10">
        <f t="shared" si="3"/>
        <v>169</v>
      </c>
      <c r="AG180" s="2"/>
      <c r="AH180" s="2"/>
      <c r="AI180" s="9">
        <f t="shared" si="100"/>
        <v>304.5</v>
      </c>
      <c r="AJ180" s="10">
        <f t="shared" si="196"/>
        <v>0</v>
      </c>
      <c r="AK180" s="10">
        <f t="shared" si="6"/>
        <v>0</v>
      </c>
      <c r="AL180" s="9">
        <f t="shared" si="98"/>
        <v>389</v>
      </c>
      <c r="AM180" s="10">
        <f t="shared" si="85"/>
        <v>0</v>
      </c>
      <c r="AN180" s="10">
        <f t="shared" si="9"/>
        <v>0</v>
      </c>
      <c r="AO180" s="10">
        <f t="shared" si="10"/>
        <v>0</v>
      </c>
    </row>
    <row r="181" spans="1:41">
      <c r="A181" s="3">
        <v>10478</v>
      </c>
      <c r="B181" s="2" t="s">
        <v>313</v>
      </c>
      <c r="C181" s="3"/>
      <c r="D181" s="3" t="s">
        <v>46</v>
      </c>
      <c r="E181" s="3" t="s">
        <v>46</v>
      </c>
      <c r="F181" s="3"/>
      <c r="G181" s="3" t="s">
        <v>52</v>
      </c>
      <c r="H181" s="3"/>
      <c r="I181" s="3" t="s">
        <v>54</v>
      </c>
      <c r="J181" s="3" t="s">
        <v>49</v>
      </c>
      <c r="K181" s="4"/>
      <c r="L181" s="3"/>
      <c r="M181" s="4"/>
      <c r="N181" s="2">
        <v>5</v>
      </c>
      <c r="O181" s="5" t="s">
        <v>55</v>
      </c>
      <c r="P181" s="25">
        <v>12.6</v>
      </c>
      <c r="Q181" s="26">
        <f t="shared" si="0"/>
        <v>396.9</v>
      </c>
      <c r="R181" s="27">
        <v>2</v>
      </c>
      <c r="S181" s="2"/>
      <c r="T181" s="2">
        <v>51</v>
      </c>
      <c r="U181" s="2"/>
      <c r="V181" s="10">
        <v>0</v>
      </c>
      <c r="W181" s="10">
        <v>81205</v>
      </c>
      <c r="X181" s="10">
        <v>0</v>
      </c>
      <c r="Y181" s="10">
        <v>137</v>
      </c>
      <c r="Z181" s="2">
        <f t="shared" ref="Z181:AC181" si="198">_xlfn.RANK.EQ(V181,V$4:V$200)</f>
        <v>168</v>
      </c>
      <c r="AA181" s="2">
        <f t="shared" si="198"/>
        <v>66</v>
      </c>
      <c r="AB181" s="2">
        <f t="shared" si="198"/>
        <v>176</v>
      </c>
      <c r="AC181" s="2">
        <f t="shared" si="198"/>
        <v>20</v>
      </c>
      <c r="AD181" s="10">
        <f t="shared" si="2"/>
        <v>68.5</v>
      </c>
      <c r="AE181" s="2">
        <v>800</v>
      </c>
      <c r="AF181" s="10">
        <f t="shared" si="3"/>
        <v>137</v>
      </c>
      <c r="AG181" s="2"/>
      <c r="AH181" s="2"/>
      <c r="AI181" s="9">
        <f t="shared" si="100"/>
        <v>256.5</v>
      </c>
      <c r="AJ181" s="10">
        <f t="shared" si="196"/>
        <v>0</v>
      </c>
      <c r="AK181" s="10">
        <f t="shared" si="6"/>
        <v>0</v>
      </c>
      <c r="AL181" s="9">
        <f t="shared" si="98"/>
        <v>325</v>
      </c>
      <c r="AM181" s="10">
        <f t="shared" si="85"/>
        <v>0</v>
      </c>
      <c r="AN181" s="10">
        <f t="shared" si="9"/>
        <v>0</v>
      </c>
      <c r="AO181" s="10">
        <f t="shared" si="10"/>
        <v>0</v>
      </c>
    </row>
    <row r="182" spans="1:41">
      <c r="A182" s="3">
        <v>10476</v>
      </c>
      <c r="B182" s="2" t="s">
        <v>314</v>
      </c>
      <c r="C182" s="3"/>
      <c r="D182" s="3" t="s">
        <v>46</v>
      </c>
      <c r="E182" s="3" t="s">
        <v>46</v>
      </c>
      <c r="F182" s="3"/>
      <c r="G182" s="3" t="s">
        <v>52</v>
      </c>
      <c r="H182" s="3"/>
      <c r="I182" s="3" t="s">
        <v>54</v>
      </c>
      <c r="J182" s="3" t="s">
        <v>49</v>
      </c>
      <c r="K182" s="4"/>
      <c r="L182" s="3"/>
      <c r="M182" s="4"/>
      <c r="N182" s="2">
        <v>5</v>
      </c>
      <c r="O182" s="5" t="s">
        <v>55</v>
      </c>
      <c r="P182" s="25">
        <v>18</v>
      </c>
      <c r="Q182" s="26">
        <f t="shared" si="0"/>
        <v>567</v>
      </c>
      <c r="R182" s="27">
        <v>2</v>
      </c>
      <c r="S182" s="2"/>
      <c r="T182" s="2">
        <v>51</v>
      </c>
      <c r="U182" s="2"/>
      <c r="V182" s="10">
        <v>0</v>
      </c>
      <c r="W182" s="10">
        <v>81372</v>
      </c>
      <c r="X182" s="10">
        <v>0</v>
      </c>
      <c r="Y182" s="10">
        <v>85</v>
      </c>
      <c r="Z182" s="2">
        <f t="shared" ref="Z182:AC182" si="199">_xlfn.RANK.EQ(V182,V$4:V$200)</f>
        <v>168</v>
      </c>
      <c r="AA182" s="2">
        <f t="shared" si="199"/>
        <v>65</v>
      </c>
      <c r="AB182" s="2">
        <f t="shared" si="199"/>
        <v>176</v>
      </c>
      <c r="AC182" s="2">
        <f t="shared" si="199"/>
        <v>41</v>
      </c>
      <c r="AD182" s="10">
        <f t="shared" si="2"/>
        <v>42.5</v>
      </c>
      <c r="AE182" s="2">
        <v>600</v>
      </c>
      <c r="AF182" s="10">
        <f t="shared" si="3"/>
        <v>85</v>
      </c>
      <c r="AG182" s="2"/>
      <c r="AH182" s="2"/>
      <c r="AI182" s="9">
        <f t="shared" si="100"/>
        <v>178.5</v>
      </c>
      <c r="AJ182" s="10">
        <f t="shared" si="196"/>
        <v>0</v>
      </c>
      <c r="AK182" s="10">
        <f t="shared" si="6"/>
        <v>0</v>
      </c>
      <c r="AL182" s="9">
        <f t="shared" si="98"/>
        <v>221</v>
      </c>
      <c r="AM182" s="10">
        <f t="shared" si="85"/>
        <v>0</v>
      </c>
      <c r="AN182" s="10">
        <f t="shared" si="9"/>
        <v>0</v>
      </c>
      <c r="AO182" s="10">
        <f t="shared" si="10"/>
        <v>0</v>
      </c>
    </row>
    <row r="183" spans="1:41">
      <c r="A183" s="3">
        <v>10229</v>
      </c>
      <c r="B183" s="2" t="s">
        <v>315</v>
      </c>
      <c r="C183" s="3"/>
      <c r="D183" s="3" t="s">
        <v>46</v>
      </c>
      <c r="E183" s="3" t="s">
        <v>46</v>
      </c>
      <c r="F183" s="3"/>
      <c r="G183" s="3" t="s">
        <v>52</v>
      </c>
      <c r="H183" s="3" t="s">
        <v>53</v>
      </c>
      <c r="I183" s="3" t="s">
        <v>54</v>
      </c>
      <c r="J183" s="3" t="s">
        <v>49</v>
      </c>
      <c r="K183" s="4" t="s">
        <v>316</v>
      </c>
      <c r="L183" s="3"/>
      <c r="M183" s="4"/>
      <c r="N183" s="2">
        <v>5</v>
      </c>
      <c r="O183" s="5" t="s">
        <v>55</v>
      </c>
      <c r="P183" s="25">
        <v>226.78</v>
      </c>
      <c r="Q183" s="26">
        <f t="shared" si="0"/>
        <v>7143.57</v>
      </c>
      <c r="R183" s="27">
        <v>2</v>
      </c>
      <c r="S183" s="2"/>
      <c r="T183" s="2">
        <v>51</v>
      </c>
      <c r="U183" s="2"/>
      <c r="V183" s="10">
        <v>0</v>
      </c>
      <c r="W183" s="10">
        <v>151196</v>
      </c>
      <c r="X183" s="10">
        <v>0</v>
      </c>
      <c r="Y183" s="10">
        <v>16</v>
      </c>
      <c r="Z183" s="2">
        <f t="shared" ref="Z183:AC183" si="200">_xlfn.RANK.EQ(V183,V$4:V$200)</f>
        <v>168</v>
      </c>
      <c r="AA183" s="2">
        <f t="shared" si="200"/>
        <v>22</v>
      </c>
      <c r="AB183" s="2">
        <f t="shared" si="200"/>
        <v>176</v>
      </c>
      <c r="AC183" s="2">
        <f t="shared" si="200"/>
        <v>147</v>
      </c>
      <c r="AD183" s="10">
        <f t="shared" si="2"/>
        <v>8</v>
      </c>
      <c r="AE183" s="2">
        <v>62</v>
      </c>
      <c r="AF183" s="10">
        <f t="shared" si="3"/>
        <v>16</v>
      </c>
      <c r="AG183" s="2">
        <v>25</v>
      </c>
      <c r="AH183" s="2"/>
      <c r="AI183" s="9">
        <f t="shared" si="100"/>
        <v>75</v>
      </c>
      <c r="AJ183" s="10">
        <f t="shared" si="196"/>
        <v>5</v>
      </c>
      <c r="AK183" s="10">
        <f t="shared" si="6"/>
        <v>35717.85</v>
      </c>
      <c r="AL183" s="9">
        <f t="shared" si="98"/>
        <v>83</v>
      </c>
      <c r="AM183" s="10">
        <f t="shared" si="85"/>
        <v>15</v>
      </c>
      <c r="AN183" s="10">
        <f t="shared" si="9"/>
        <v>107153.54999999999</v>
      </c>
      <c r="AO183" s="10">
        <f t="shared" si="10"/>
        <v>10</v>
      </c>
    </row>
    <row r="184" spans="1:41">
      <c r="A184" s="3">
        <v>10227</v>
      </c>
      <c r="B184" s="2" t="s">
        <v>317</v>
      </c>
      <c r="C184" s="3"/>
      <c r="D184" s="3" t="s">
        <v>46</v>
      </c>
      <c r="E184" s="3" t="s">
        <v>46</v>
      </c>
      <c r="F184" s="3"/>
      <c r="G184" s="3" t="s">
        <v>52</v>
      </c>
      <c r="H184" s="3" t="s">
        <v>53</v>
      </c>
      <c r="I184" s="3" t="s">
        <v>54</v>
      </c>
      <c r="J184" s="3" t="s">
        <v>49</v>
      </c>
      <c r="K184" s="4" t="s">
        <v>316</v>
      </c>
      <c r="L184" s="3"/>
      <c r="M184" s="4"/>
      <c r="N184" s="2">
        <v>5</v>
      </c>
      <c r="O184" s="5" t="s">
        <v>55</v>
      </c>
      <c r="P184" s="39">
        <v>98.6</v>
      </c>
      <c r="Q184" s="26">
        <f t="shared" si="0"/>
        <v>3105.8999999999996</v>
      </c>
      <c r="R184" s="27">
        <v>2</v>
      </c>
      <c r="S184" s="2"/>
      <c r="T184" s="2">
        <v>51</v>
      </c>
      <c r="U184" s="2"/>
      <c r="V184" s="10">
        <v>3960</v>
      </c>
      <c r="W184" s="10">
        <v>102531</v>
      </c>
      <c r="X184" s="10">
        <v>1</v>
      </c>
      <c r="Y184" s="10">
        <v>25</v>
      </c>
      <c r="Z184" s="2">
        <f t="shared" ref="Z184:AC184" si="201">_xlfn.RANK.EQ(V184,V$4:V$200)</f>
        <v>165</v>
      </c>
      <c r="AA184" s="2">
        <f t="shared" si="201"/>
        <v>50</v>
      </c>
      <c r="AB184" s="2">
        <f t="shared" si="201"/>
        <v>174</v>
      </c>
      <c r="AC184" s="2">
        <f t="shared" si="201"/>
        <v>116</v>
      </c>
      <c r="AD184" s="10">
        <f t="shared" si="2"/>
        <v>13</v>
      </c>
      <c r="AE184" s="2">
        <v>123</v>
      </c>
      <c r="AF184" s="10">
        <f t="shared" si="3"/>
        <v>25</v>
      </c>
      <c r="AG184" s="2"/>
      <c r="AH184" s="2"/>
      <c r="AI184" s="9">
        <f t="shared" si="100"/>
        <v>88.5</v>
      </c>
      <c r="AJ184" s="10">
        <f t="shared" si="196"/>
        <v>0</v>
      </c>
      <c r="AK184" s="10">
        <f t="shared" si="6"/>
        <v>0</v>
      </c>
      <c r="AL184" s="9">
        <f t="shared" si="98"/>
        <v>101</v>
      </c>
      <c r="AM184" s="10">
        <f t="shared" si="85"/>
        <v>5</v>
      </c>
      <c r="AN184" s="10">
        <f t="shared" si="9"/>
        <v>15529.499999999998</v>
      </c>
      <c r="AO184" s="10">
        <f t="shared" si="10"/>
        <v>5</v>
      </c>
    </row>
    <row r="185" spans="1:41">
      <c r="A185" s="3">
        <v>10248</v>
      </c>
      <c r="B185" s="2" t="s">
        <v>318</v>
      </c>
      <c r="C185" s="3"/>
      <c r="D185" s="3" t="s">
        <v>46</v>
      </c>
      <c r="E185" s="3" t="s">
        <v>46</v>
      </c>
      <c r="F185" s="3"/>
      <c r="G185" s="3" t="s">
        <v>52</v>
      </c>
      <c r="H185" s="3" t="s">
        <v>319</v>
      </c>
      <c r="I185" s="3" t="s">
        <v>54</v>
      </c>
      <c r="J185" s="3" t="s">
        <v>49</v>
      </c>
      <c r="K185" s="4" t="s">
        <v>316</v>
      </c>
      <c r="L185" s="3"/>
      <c r="M185" s="4"/>
      <c r="N185" s="2">
        <v>5</v>
      </c>
      <c r="O185" s="5" t="s">
        <v>55</v>
      </c>
      <c r="P185" s="39">
        <v>53</v>
      </c>
      <c r="Q185" s="26">
        <f t="shared" si="0"/>
        <v>1669.5</v>
      </c>
      <c r="R185" s="27">
        <v>2</v>
      </c>
      <c r="S185" s="2"/>
      <c r="T185" s="2">
        <v>51</v>
      </c>
      <c r="U185" s="2"/>
      <c r="V185" s="10">
        <v>0</v>
      </c>
      <c r="W185" s="10">
        <v>124684</v>
      </c>
      <c r="X185" s="10">
        <v>0</v>
      </c>
      <c r="Y185" s="10">
        <v>51</v>
      </c>
      <c r="Z185" s="2">
        <f t="shared" ref="Z185:AC185" si="202">_xlfn.RANK.EQ(V185,V$4:V$200)</f>
        <v>168</v>
      </c>
      <c r="AA185" s="2">
        <f t="shared" si="202"/>
        <v>38</v>
      </c>
      <c r="AB185" s="2">
        <f t="shared" si="202"/>
        <v>176</v>
      </c>
      <c r="AC185" s="2">
        <f t="shared" si="202"/>
        <v>71</v>
      </c>
      <c r="AD185" s="10">
        <f t="shared" si="2"/>
        <v>25.5</v>
      </c>
      <c r="AE185" s="2">
        <v>48</v>
      </c>
      <c r="AF185" s="10">
        <f t="shared" si="3"/>
        <v>51</v>
      </c>
      <c r="AG185" s="2">
        <v>100</v>
      </c>
      <c r="AH185" s="2"/>
      <c r="AI185" s="9">
        <f t="shared" si="100"/>
        <v>127.5</v>
      </c>
      <c r="AJ185" s="10">
        <f t="shared" si="196"/>
        <v>35</v>
      </c>
      <c r="AK185" s="10">
        <f t="shared" si="6"/>
        <v>58432.5</v>
      </c>
      <c r="AL185" s="9">
        <f t="shared" si="98"/>
        <v>153</v>
      </c>
      <c r="AM185" s="10">
        <f t="shared" si="85"/>
        <v>60</v>
      </c>
      <c r="AN185" s="10">
        <f t="shared" si="9"/>
        <v>100170</v>
      </c>
      <c r="AO185" s="10">
        <f t="shared" si="10"/>
        <v>25</v>
      </c>
    </row>
    <row r="186" spans="1:41">
      <c r="A186" s="3">
        <v>10249</v>
      </c>
      <c r="B186" s="2" t="s">
        <v>320</v>
      </c>
      <c r="C186" s="3"/>
      <c r="D186" s="3" t="s">
        <v>46</v>
      </c>
      <c r="E186" s="3" t="s">
        <v>46</v>
      </c>
      <c r="F186" s="3"/>
      <c r="G186" s="3" t="s">
        <v>52</v>
      </c>
      <c r="H186" s="3" t="s">
        <v>319</v>
      </c>
      <c r="I186" s="3" t="s">
        <v>54</v>
      </c>
      <c r="J186" s="3" t="s">
        <v>49</v>
      </c>
      <c r="K186" s="4" t="s">
        <v>316</v>
      </c>
      <c r="L186" s="3"/>
      <c r="M186" s="4"/>
      <c r="N186" s="2">
        <v>5</v>
      </c>
      <c r="O186" s="5" t="s">
        <v>55</v>
      </c>
      <c r="P186" s="39">
        <v>92.6</v>
      </c>
      <c r="Q186" s="26">
        <f t="shared" si="0"/>
        <v>2916.8999999999996</v>
      </c>
      <c r="R186" s="27">
        <v>2</v>
      </c>
      <c r="S186" s="2"/>
      <c r="T186" s="2">
        <v>51</v>
      </c>
      <c r="U186" s="2"/>
      <c r="V186" s="10">
        <v>0</v>
      </c>
      <c r="W186" s="10">
        <v>81543</v>
      </c>
      <c r="X186" s="10">
        <v>0</v>
      </c>
      <c r="Y186" s="10">
        <v>19</v>
      </c>
      <c r="Z186" s="2">
        <f t="shared" ref="Z186:AC186" si="203">_xlfn.RANK.EQ(V186,V$4:V$200)</f>
        <v>168</v>
      </c>
      <c r="AA186" s="2">
        <f t="shared" si="203"/>
        <v>64</v>
      </c>
      <c r="AB186" s="2">
        <f t="shared" si="203"/>
        <v>176</v>
      </c>
      <c r="AC186" s="2">
        <f t="shared" si="203"/>
        <v>135</v>
      </c>
      <c r="AD186" s="10">
        <f t="shared" si="2"/>
        <v>9.5</v>
      </c>
      <c r="AE186" s="2">
        <v>130</v>
      </c>
      <c r="AF186" s="10">
        <f t="shared" si="3"/>
        <v>19</v>
      </c>
      <c r="AG186" s="2"/>
      <c r="AH186" s="2"/>
      <c r="AI186" s="9">
        <f t="shared" si="100"/>
        <v>79.5</v>
      </c>
      <c r="AJ186" s="10">
        <f t="shared" si="196"/>
        <v>0</v>
      </c>
      <c r="AK186" s="10">
        <f t="shared" si="6"/>
        <v>0</v>
      </c>
      <c r="AL186" s="9">
        <f t="shared" si="98"/>
        <v>89</v>
      </c>
      <c r="AM186" s="10">
        <f t="shared" si="85"/>
        <v>0</v>
      </c>
      <c r="AN186" s="10">
        <f t="shared" si="9"/>
        <v>0</v>
      </c>
      <c r="AO186" s="10">
        <f t="shared" si="10"/>
        <v>0</v>
      </c>
    </row>
    <row r="187" spans="1:41">
      <c r="A187" s="3">
        <v>10365</v>
      </c>
      <c r="B187" s="2" t="s">
        <v>321</v>
      </c>
      <c r="C187" s="3"/>
      <c r="D187" s="3" t="s">
        <v>46</v>
      </c>
      <c r="E187" s="3" t="s">
        <v>60</v>
      </c>
      <c r="F187" s="3" t="s">
        <v>61</v>
      </c>
      <c r="G187" s="3" t="s">
        <v>75</v>
      </c>
      <c r="H187" s="3"/>
      <c r="I187" s="3" t="s">
        <v>48</v>
      </c>
      <c r="J187" s="3" t="s">
        <v>49</v>
      </c>
      <c r="K187" s="4"/>
      <c r="L187" s="3" t="s">
        <v>55</v>
      </c>
      <c r="M187" s="4">
        <v>8000</v>
      </c>
      <c r="N187" s="2">
        <v>72</v>
      </c>
      <c r="O187" s="5" t="s">
        <v>55</v>
      </c>
      <c r="P187" s="25">
        <v>17.760000000000002</v>
      </c>
      <c r="Q187" s="26">
        <f t="shared" si="0"/>
        <v>559.44000000000005</v>
      </c>
      <c r="R187" s="27">
        <v>1.5</v>
      </c>
      <c r="S187" s="2"/>
      <c r="T187" s="2">
        <v>51</v>
      </c>
      <c r="U187" s="2"/>
      <c r="V187" s="10">
        <v>0</v>
      </c>
      <c r="W187" s="10">
        <v>7822</v>
      </c>
      <c r="X187" s="10">
        <v>0</v>
      </c>
      <c r="Y187" s="10">
        <v>9</v>
      </c>
      <c r="Z187" s="2">
        <f t="shared" ref="Z187:AC187" si="204">_xlfn.RANK.EQ(V187,V$4:V$200)</f>
        <v>168</v>
      </c>
      <c r="AA187" s="2">
        <f t="shared" si="204"/>
        <v>186</v>
      </c>
      <c r="AB187" s="2">
        <f t="shared" si="204"/>
        <v>176</v>
      </c>
      <c r="AC187" s="2">
        <f t="shared" si="204"/>
        <v>177</v>
      </c>
      <c r="AD187" s="10">
        <f t="shared" si="2"/>
        <v>4.5</v>
      </c>
      <c r="AE187" s="2">
        <v>106</v>
      </c>
      <c r="AF187" s="10">
        <f t="shared" si="3"/>
        <v>9</v>
      </c>
      <c r="AG187" s="2"/>
      <c r="AH187" s="2"/>
      <c r="AI187" s="9">
        <f t="shared" si="100"/>
        <v>64.5</v>
      </c>
      <c r="AJ187" s="10">
        <f t="shared" si="196"/>
        <v>0</v>
      </c>
      <c r="AK187" s="10">
        <f t="shared" si="6"/>
        <v>0</v>
      </c>
      <c r="AL187" s="9">
        <f t="shared" si="98"/>
        <v>64.5</v>
      </c>
      <c r="AM187" s="10">
        <f t="shared" si="85"/>
        <v>0</v>
      </c>
      <c r="AN187" s="10">
        <f t="shared" si="9"/>
        <v>0</v>
      </c>
      <c r="AO187" s="10">
        <f t="shared" si="10"/>
        <v>0</v>
      </c>
    </row>
    <row r="188" spans="1:41">
      <c r="A188" s="3">
        <v>10504</v>
      </c>
      <c r="B188" s="2" t="s">
        <v>322</v>
      </c>
      <c r="C188" s="3"/>
      <c r="D188" s="3" t="s">
        <v>46</v>
      </c>
      <c r="E188" s="3" t="s">
        <v>60</v>
      </c>
      <c r="F188" s="3" t="s">
        <v>61</v>
      </c>
      <c r="G188" s="3" t="s">
        <v>118</v>
      </c>
      <c r="H188" s="3"/>
      <c r="I188" s="3" t="s">
        <v>119</v>
      </c>
      <c r="J188" s="3" t="s">
        <v>49</v>
      </c>
      <c r="K188" s="4"/>
      <c r="L188" s="3"/>
      <c r="M188" s="4"/>
      <c r="N188" s="2">
        <v>5</v>
      </c>
      <c r="O188" s="5" t="s">
        <v>120</v>
      </c>
      <c r="P188" s="25">
        <v>8.07</v>
      </c>
      <c r="Q188" s="26">
        <f t="shared" si="0"/>
        <v>298.59000000000003</v>
      </c>
      <c r="R188" s="27">
        <v>1.5</v>
      </c>
      <c r="S188" s="2"/>
      <c r="T188" s="2">
        <v>51</v>
      </c>
      <c r="U188" s="2"/>
      <c r="V188" s="10">
        <v>0</v>
      </c>
      <c r="W188" s="10">
        <v>9749</v>
      </c>
      <c r="X188" s="10">
        <v>0</v>
      </c>
      <c r="Y188" s="10">
        <v>15</v>
      </c>
      <c r="Z188" s="2">
        <f t="shared" ref="Z188:AC188" si="205">_xlfn.RANK.EQ(V188,V$4:V$200)</f>
        <v>168</v>
      </c>
      <c r="AA188" s="2">
        <f t="shared" si="205"/>
        <v>185</v>
      </c>
      <c r="AB188" s="2">
        <f t="shared" si="205"/>
        <v>176</v>
      </c>
      <c r="AC188" s="2">
        <f t="shared" si="205"/>
        <v>152</v>
      </c>
      <c r="AD188" s="10">
        <f t="shared" si="2"/>
        <v>7.5</v>
      </c>
      <c r="AE188" s="2">
        <v>150</v>
      </c>
      <c r="AF188" s="10">
        <f t="shared" si="3"/>
        <v>15</v>
      </c>
      <c r="AG188" s="2"/>
      <c r="AH188" s="2"/>
      <c r="AI188" s="9">
        <f t="shared" si="100"/>
        <v>73.5</v>
      </c>
      <c r="AJ188" s="10">
        <f t="shared" si="196"/>
        <v>0</v>
      </c>
      <c r="AK188" s="10">
        <f t="shared" si="6"/>
        <v>0</v>
      </c>
      <c r="AL188" s="9">
        <f t="shared" si="98"/>
        <v>73.5</v>
      </c>
      <c r="AM188" s="10">
        <f t="shared" si="85"/>
        <v>0</v>
      </c>
      <c r="AN188" s="10">
        <f t="shared" si="9"/>
        <v>0</v>
      </c>
      <c r="AO188" s="10">
        <f t="shared" si="10"/>
        <v>0</v>
      </c>
    </row>
    <row r="189" spans="1:41">
      <c r="A189" s="3">
        <v>10507</v>
      </c>
      <c r="B189" s="2" t="s">
        <v>323</v>
      </c>
      <c r="C189" s="3"/>
      <c r="D189" s="3" t="s">
        <v>46</v>
      </c>
      <c r="E189" s="3" t="s">
        <v>60</v>
      </c>
      <c r="F189" s="3" t="s">
        <v>61</v>
      </c>
      <c r="G189" s="3" t="s">
        <v>148</v>
      </c>
      <c r="H189" s="3"/>
      <c r="I189" s="3" t="s">
        <v>149</v>
      </c>
      <c r="J189" s="3" t="s">
        <v>49</v>
      </c>
      <c r="K189" s="4"/>
      <c r="L189" s="3"/>
      <c r="M189" s="4"/>
      <c r="N189" s="2">
        <v>5</v>
      </c>
      <c r="O189" s="5" t="s">
        <v>55</v>
      </c>
      <c r="P189" s="6"/>
      <c r="Q189" s="26">
        <f t="shared" si="0"/>
        <v>0</v>
      </c>
      <c r="R189" s="27">
        <v>1.5</v>
      </c>
      <c r="S189" s="2"/>
      <c r="T189" s="2">
        <v>102</v>
      </c>
      <c r="U189" s="2"/>
      <c r="V189" s="10">
        <v>0</v>
      </c>
      <c r="W189" s="10">
        <v>138955</v>
      </c>
      <c r="X189" s="10">
        <v>0</v>
      </c>
      <c r="Y189" s="10">
        <v>59</v>
      </c>
      <c r="Z189" s="2">
        <f t="shared" ref="Z189:AC189" si="206">_xlfn.RANK.EQ(V189,V$4:V$200)</f>
        <v>168</v>
      </c>
      <c r="AA189" s="2">
        <f t="shared" si="206"/>
        <v>29</v>
      </c>
      <c r="AB189" s="2">
        <f t="shared" si="206"/>
        <v>176</v>
      </c>
      <c r="AC189" s="2">
        <f t="shared" si="206"/>
        <v>58</v>
      </c>
      <c r="AD189" s="10">
        <f t="shared" si="2"/>
        <v>29.5</v>
      </c>
      <c r="AE189" s="2">
        <v>241</v>
      </c>
      <c r="AF189" s="10">
        <f t="shared" si="3"/>
        <v>59</v>
      </c>
      <c r="AG189" s="2"/>
      <c r="AH189" s="2"/>
      <c r="AI189" s="9">
        <f t="shared" si="100"/>
        <v>190.5</v>
      </c>
      <c r="AJ189" s="10">
        <f t="shared" si="196"/>
        <v>0</v>
      </c>
      <c r="AK189" s="10">
        <f t="shared" si="6"/>
        <v>0</v>
      </c>
      <c r="AL189" s="9">
        <f t="shared" si="98"/>
        <v>190.5</v>
      </c>
      <c r="AM189" s="10">
        <f t="shared" si="85"/>
        <v>0</v>
      </c>
      <c r="AN189" s="10">
        <f t="shared" si="9"/>
        <v>0</v>
      </c>
      <c r="AO189" s="10">
        <f t="shared" si="10"/>
        <v>0</v>
      </c>
    </row>
    <row r="190" spans="1:41">
      <c r="A190" s="3">
        <v>20078</v>
      </c>
      <c r="B190" s="2" t="s">
        <v>324</v>
      </c>
      <c r="C190" s="3"/>
      <c r="D190" s="3" t="s">
        <v>46</v>
      </c>
      <c r="E190" s="3" t="s">
        <v>46</v>
      </c>
      <c r="F190" s="3"/>
      <c r="G190" s="3" t="s">
        <v>52</v>
      </c>
      <c r="H190" s="3" t="s">
        <v>164</v>
      </c>
      <c r="I190" s="3" t="s">
        <v>54</v>
      </c>
      <c r="J190" s="3" t="s">
        <v>49</v>
      </c>
      <c r="K190" s="4"/>
      <c r="L190" s="3" t="s">
        <v>55</v>
      </c>
      <c r="M190" s="4">
        <v>15000</v>
      </c>
      <c r="N190" s="2">
        <v>5</v>
      </c>
      <c r="O190" s="5" t="s">
        <v>55</v>
      </c>
      <c r="P190" s="25">
        <v>35.1</v>
      </c>
      <c r="Q190" s="26">
        <f t="shared" si="0"/>
        <v>1105.6500000000001</v>
      </c>
      <c r="R190" s="27">
        <v>2</v>
      </c>
      <c r="S190" s="2"/>
      <c r="T190" s="2">
        <v>51</v>
      </c>
      <c r="U190" s="2"/>
      <c r="V190" s="10">
        <v>0</v>
      </c>
      <c r="W190" s="10">
        <v>38865</v>
      </c>
      <c r="X190" s="10">
        <v>0</v>
      </c>
      <c r="Y190" s="10">
        <v>21</v>
      </c>
      <c r="Z190" s="2">
        <f t="shared" ref="Z190:AC190" si="207">_xlfn.RANK.EQ(V190,V$4:V$200)</f>
        <v>168</v>
      </c>
      <c r="AA190" s="2">
        <f t="shared" si="207"/>
        <v>124</v>
      </c>
      <c r="AB190" s="2">
        <f t="shared" si="207"/>
        <v>176</v>
      </c>
      <c r="AC190" s="2">
        <f t="shared" si="207"/>
        <v>130</v>
      </c>
      <c r="AD190" s="10">
        <f t="shared" si="2"/>
        <v>10.5</v>
      </c>
      <c r="AE190" s="2"/>
      <c r="AF190" s="10">
        <f t="shared" si="3"/>
        <v>21</v>
      </c>
      <c r="AG190" s="2">
        <v>136</v>
      </c>
      <c r="AH190" s="2"/>
      <c r="AI190" s="9">
        <f t="shared" si="100"/>
        <v>82.5</v>
      </c>
      <c r="AJ190" s="10">
        <f t="shared" si="196"/>
        <v>0</v>
      </c>
      <c r="AK190" s="10">
        <f t="shared" si="6"/>
        <v>0</v>
      </c>
      <c r="AL190" s="9">
        <f t="shared" si="98"/>
        <v>93</v>
      </c>
      <c r="AM190" s="10">
        <f t="shared" si="85"/>
        <v>0</v>
      </c>
      <c r="AN190" s="10">
        <f t="shared" si="9"/>
        <v>0</v>
      </c>
      <c r="AO190" s="10">
        <f t="shared" si="10"/>
        <v>0</v>
      </c>
    </row>
    <row r="191" spans="1:41">
      <c r="A191" s="3">
        <v>20160</v>
      </c>
      <c r="B191" s="2" t="s">
        <v>325</v>
      </c>
      <c r="C191" s="3"/>
      <c r="D191" s="3" t="s">
        <v>46</v>
      </c>
      <c r="E191" s="3" t="s">
        <v>46</v>
      </c>
      <c r="F191" s="3"/>
      <c r="G191" s="3" t="s">
        <v>52</v>
      </c>
      <c r="H191" s="3" t="s">
        <v>164</v>
      </c>
      <c r="I191" s="3" t="s">
        <v>54</v>
      </c>
      <c r="J191" s="3" t="s">
        <v>49</v>
      </c>
      <c r="K191" s="4"/>
      <c r="L191" s="3" t="s">
        <v>55</v>
      </c>
      <c r="M191" s="4">
        <v>15000</v>
      </c>
      <c r="N191" s="2">
        <v>5</v>
      </c>
      <c r="O191" s="5" t="s">
        <v>55</v>
      </c>
      <c r="P191" s="25">
        <v>23.4</v>
      </c>
      <c r="Q191" s="26">
        <f t="shared" si="0"/>
        <v>737.09999999999991</v>
      </c>
      <c r="R191" s="27">
        <v>2</v>
      </c>
      <c r="S191" s="2"/>
      <c r="T191" s="2">
        <v>102</v>
      </c>
      <c r="U191" s="2"/>
      <c r="V191" s="10">
        <v>0</v>
      </c>
      <c r="W191" s="10">
        <v>49468</v>
      </c>
      <c r="X191" s="10">
        <v>0</v>
      </c>
      <c r="Y191" s="10">
        <v>40</v>
      </c>
      <c r="Z191" s="2">
        <f t="shared" ref="Z191:AC191" si="208">_xlfn.RANK.EQ(V191,V$4:V$200)</f>
        <v>168</v>
      </c>
      <c r="AA191" s="2">
        <f t="shared" si="208"/>
        <v>106</v>
      </c>
      <c r="AB191" s="2">
        <f t="shared" si="208"/>
        <v>176</v>
      </c>
      <c r="AC191" s="2">
        <f t="shared" si="208"/>
        <v>90</v>
      </c>
      <c r="AD191" s="10">
        <f t="shared" si="2"/>
        <v>20</v>
      </c>
      <c r="AE191" s="2">
        <v>500</v>
      </c>
      <c r="AF191" s="10">
        <f t="shared" si="3"/>
        <v>40</v>
      </c>
      <c r="AG191" s="2"/>
      <c r="AH191" s="2"/>
      <c r="AI191" s="9">
        <f t="shared" si="100"/>
        <v>162</v>
      </c>
      <c r="AJ191" s="10">
        <f t="shared" si="196"/>
        <v>0</v>
      </c>
      <c r="AK191" s="10">
        <f t="shared" si="6"/>
        <v>0</v>
      </c>
      <c r="AL191" s="9">
        <f t="shared" si="98"/>
        <v>182</v>
      </c>
      <c r="AM191" s="10">
        <f t="shared" si="85"/>
        <v>0</v>
      </c>
      <c r="AN191" s="10">
        <f t="shared" si="9"/>
        <v>0</v>
      </c>
      <c r="AO191" s="10">
        <f t="shared" si="10"/>
        <v>0</v>
      </c>
    </row>
    <row r="192" spans="1:41">
      <c r="A192" s="3">
        <v>70059</v>
      </c>
      <c r="B192" s="2" t="s">
        <v>326</v>
      </c>
      <c r="C192" s="3"/>
      <c r="D192" s="3" t="s">
        <v>46</v>
      </c>
      <c r="E192" s="3" t="s">
        <v>46</v>
      </c>
      <c r="F192" s="3"/>
      <c r="G192" s="3" t="s">
        <v>75</v>
      </c>
      <c r="H192" s="3"/>
      <c r="I192" s="3" t="s">
        <v>48</v>
      </c>
      <c r="J192" s="3" t="s">
        <v>49</v>
      </c>
      <c r="K192" s="4"/>
      <c r="L192" s="3"/>
      <c r="M192" s="4"/>
      <c r="N192" s="2">
        <v>5</v>
      </c>
      <c r="O192" s="5" t="s">
        <v>55</v>
      </c>
      <c r="P192" s="25">
        <v>184.08</v>
      </c>
      <c r="Q192" s="26">
        <f t="shared" si="0"/>
        <v>5798.52</v>
      </c>
      <c r="R192" s="27">
        <v>1.5</v>
      </c>
      <c r="S192" s="2"/>
      <c r="T192" s="2">
        <v>51</v>
      </c>
      <c r="U192" s="2"/>
      <c r="V192" s="10">
        <v>0</v>
      </c>
      <c r="W192" s="10">
        <v>27152</v>
      </c>
      <c r="X192" s="10">
        <v>0</v>
      </c>
      <c r="Y192" s="10">
        <v>3</v>
      </c>
      <c r="Z192" s="2">
        <f t="shared" ref="Z192:AC192" si="209">_xlfn.RANK.EQ(V192,V$4:V$200)</f>
        <v>168</v>
      </c>
      <c r="AA192" s="2">
        <f t="shared" si="209"/>
        <v>150</v>
      </c>
      <c r="AB192" s="2">
        <f t="shared" si="209"/>
        <v>176</v>
      </c>
      <c r="AC192" s="2">
        <f t="shared" si="209"/>
        <v>196</v>
      </c>
      <c r="AD192" s="10">
        <f t="shared" si="2"/>
        <v>1.5</v>
      </c>
      <c r="AE192" s="2"/>
      <c r="AF192" s="10">
        <f t="shared" si="3"/>
        <v>3</v>
      </c>
      <c r="AG192" s="2">
        <v>167</v>
      </c>
      <c r="AH192" s="2"/>
      <c r="AI192" s="9">
        <f t="shared" si="100"/>
        <v>55.5</v>
      </c>
      <c r="AJ192" s="10">
        <f t="shared" si="196"/>
        <v>0</v>
      </c>
      <c r="AK192" s="10">
        <f t="shared" si="6"/>
        <v>0</v>
      </c>
      <c r="AL192" s="9">
        <f t="shared" si="98"/>
        <v>55.5</v>
      </c>
      <c r="AM192" s="10">
        <f t="shared" si="85"/>
        <v>0</v>
      </c>
      <c r="AN192" s="10">
        <f t="shared" si="9"/>
        <v>0</v>
      </c>
      <c r="AO192" s="10">
        <f t="shared" si="10"/>
        <v>0</v>
      </c>
    </row>
    <row r="193" spans="1:41">
      <c r="A193" s="3">
        <v>30088</v>
      </c>
      <c r="B193" s="2" t="s">
        <v>327</v>
      </c>
      <c r="C193" s="3" t="s">
        <v>46</v>
      </c>
      <c r="D193" s="3" t="s">
        <v>46</v>
      </c>
      <c r="E193" s="3" t="s">
        <v>60</v>
      </c>
      <c r="F193" s="3" t="s">
        <v>61</v>
      </c>
      <c r="G193" s="3" t="s">
        <v>328</v>
      </c>
      <c r="H193" s="3"/>
      <c r="I193" s="3" t="s">
        <v>54</v>
      </c>
      <c r="J193" s="3" t="s">
        <v>49</v>
      </c>
      <c r="K193" s="4"/>
      <c r="L193" s="3"/>
      <c r="M193" s="4"/>
      <c r="N193" s="2">
        <v>5</v>
      </c>
      <c r="O193" s="5" t="s">
        <v>55</v>
      </c>
      <c r="P193" s="25">
        <v>24.15</v>
      </c>
      <c r="Q193" s="26">
        <f t="shared" si="0"/>
        <v>760.72499999999991</v>
      </c>
      <c r="R193" s="27">
        <v>1.5</v>
      </c>
      <c r="S193" s="2"/>
      <c r="T193" s="2">
        <v>51</v>
      </c>
      <c r="U193" s="2"/>
      <c r="V193" s="10">
        <v>0</v>
      </c>
      <c r="W193" s="10">
        <v>13222</v>
      </c>
      <c r="X193" s="10">
        <v>0</v>
      </c>
      <c r="Y193" s="10">
        <v>8</v>
      </c>
      <c r="Z193" s="2">
        <f t="shared" ref="Z193:AC193" si="210">_xlfn.RANK.EQ(V193,V$4:V$200)</f>
        <v>168</v>
      </c>
      <c r="AA193" s="2">
        <f t="shared" si="210"/>
        <v>177</v>
      </c>
      <c r="AB193" s="2">
        <f t="shared" si="210"/>
        <v>176</v>
      </c>
      <c r="AC193" s="2">
        <f t="shared" si="210"/>
        <v>182</v>
      </c>
      <c r="AD193" s="10">
        <f t="shared" si="2"/>
        <v>4</v>
      </c>
      <c r="AE193" s="2">
        <v>110</v>
      </c>
      <c r="AF193" s="10">
        <f t="shared" si="3"/>
        <v>8</v>
      </c>
      <c r="AG193" s="2">
        <v>100</v>
      </c>
      <c r="AH193" s="2"/>
      <c r="AI193" s="9">
        <f t="shared" si="100"/>
        <v>63</v>
      </c>
      <c r="AJ193" s="10">
        <f t="shared" si="196"/>
        <v>0</v>
      </c>
      <c r="AK193" s="10">
        <f t="shared" si="6"/>
        <v>0</v>
      </c>
      <c r="AL193" s="9">
        <f t="shared" si="98"/>
        <v>63</v>
      </c>
      <c r="AM193" s="10">
        <f t="shared" si="85"/>
        <v>0</v>
      </c>
      <c r="AN193" s="10">
        <f t="shared" si="9"/>
        <v>0</v>
      </c>
      <c r="AO193" s="10">
        <f t="shared" si="10"/>
        <v>0</v>
      </c>
    </row>
    <row r="194" spans="1:41">
      <c r="A194" s="3">
        <v>40010</v>
      </c>
      <c r="B194" s="2" t="s">
        <v>329</v>
      </c>
      <c r="C194" s="3"/>
      <c r="D194" s="3" t="s">
        <v>46</v>
      </c>
      <c r="E194" s="3" t="s">
        <v>330</v>
      </c>
      <c r="F194" s="3" t="s">
        <v>61</v>
      </c>
      <c r="G194" s="3" t="s">
        <v>191</v>
      </c>
      <c r="H194" s="3"/>
      <c r="I194" s="3" t="s">
        <v>54</v>
      </c>
      <c r="J194" s="3" t="s">
        <v>49</v>
      </c>
      <c r="K194" s="4"/>
      <c r="L194" s="3"/>
      <c r="M194" s="4"/>
      <c r="N194" s="2">
        <v>5</v>
      </c>
      <c r="O194" s="5" t="s">
        <v>55</v>
      </c>
      <c r="P194" s="25">
        <v>194</v>
      </c>
      <c r="Q194" s="26">
        <f t="shared" si="0"/>
        <v>6111</v>
      </c>
      <c r="R194" s="27">
        <v>1.5</v>
      </c>
      <c r="S194" s="2"/>
      <c r="T194" s="2">
        <v>51</v>
      </c>
      <c r="U194" s="2"/>
      <c r="V194" s="10">
        <v>0</v>
      </c>
      <c r="W194" s="10">
        <v>50348</v>
      </c>
      <c r="X194" s="10">
        <v>0</v>
      </c>
      <c r="Y194" s="10">
        <v>11</v>
      </c>
      <c r="Z194" s="2">
        <f t="shared" ref="Z194:AC194" si="211">_xlfn.RANK.EQ(V194,V$4:V$200)</f>
        <v>168</v>
      </c>
      <c r="AA194" s="2">
        <f t="shared" si="211"/>
        <v>103</v>
      </c>
      <c r="AB194" s="2">
        <f t="shared" si="211"/>
        <v>176</v>
      </c>
      <c r="AC194" s="2">
        <f t="shared" si="211"/>
        <v>166</v>
      </c>
      <c r="AD194" s="10">
        <f t="shared" si="2"/>
        <v>5.5</v>
      </c>
      <c r="AE194" s="2">
        <v>91</v>
      </c>
      <c r="AF194" s="10">
        <f t="shared" si="3"/>
        <v>11</v>
      </c>
      <c r="AG194" s="2"/>
      <c r="AH194" s="2"/>
      <c r="AI194" s="9">
        <f t="shared" si="100"/>
        <v>67.5</v>
      </c>
      <c r="AJ194" s="10">
        <f t="shared" si="196"/>
        <v>0</v>
      </c>
      <c r="AK194" s="10">
        <f t="shared" si="6"/>
        <v>0</v>
      </c>
      <c r="AL194" s="9">
        <f t="shared" si="98"/>
        <v>67.5</v>
      </c>
      <c r="AM194" s="10">
        <f t="shared" si="85"/>
        <v>0</v>
      </c>
      <c r="AN194" s="10">
        <f t="shared" si="9"/>
        <v>0</v>
      </c>
      <c r="AO194" s="10">
        <f t="shared" si="10"/>
        <v>0</v>
      </c>
    </row>
    <row r="195" spans="1:41">
      <c r="A195" s="3">
        <v>30043</v>
      </c>
      <c r="B195" s="2" t="s">
        <v>331</v>
      </c>
      <c r="C195" s="3"/>
      <c r="D195" s="3" t="s">
        <v>46</v>
      </c>
      <c r="E195" s="3" t="s">
        <v>330</v>
      </c>
      <c r="F195" s="3" t="s">
        <v>61</v>
      </c>
      <c r="G195" s="3" t="s">
        <v>191</v>
      </c>
      <c r="H195" s="3"/>
      <c r="I195" s="3" t="s">
        <v>54</v>
      </c>
      <c r="J195" s="3" t="s">
        <v>49</v>
      </c>
      <c r="K195" s="4"/>
      <c r="L195" s="3"/>
      <c r="M195" s="4"/>
      <c r="N195" s="2">
        <v>5</v>
      </c>
      <c r="O195" s="5" t="s">
        <v>55</v>
      </c>
      <c r="P195" s="6"/>
      <c r="Q195" s="26">
        <f t="shared" si="0"/>
        <v>0</v>
      </c>
      <c r="R195" s="27">
        <v>1.5</v>
      </c>
      <c r="S195" s="2"/>
      <c r="T195" s="2">
        <v>51</v>
      </c>
      <c r="U195" s="2"/>
      <c r="V195" s="10">
        <v>0</v>
      </c>
      <c r="W195" s="10">
        <v>14241</v>
      </c>
      <c r="X195" s="10">
        <v>0</v>
      </c>
      <c r="Y195" s="10">
        <v>15</v>
      </c>
      <c r="Z195" s="2">
        <f t="shared" ref="Z195:AC195" si="212">_xlfn.RANK.EQ(V195,V$4:V$200)</f>
        <v>168</v>
      </c>
      <c r="AA195" s="2">
        <f t="shared" si="212"/>
        <v>174</v>
      </c>
      <c r="AB195" s="2">
        <f t="shared" si="212"/>
        <v>176</v>
      </c>
      <c r="AC195" s="2">
        <f t="shared" si="212"/>
        <v>152</v>
      </c>
      <c r="AD195" s="10">
        <f t="shared" si="2"/>
        <v>7.5</v>
      </c>
      <c r="AE195" s="2">
        <v>125</v>
      </c>
      <c r="AF195" s="10">
        <f t="shared" si="3"/>
        <v>15</v>
      </c>
      <c r="AG195" s="2"/>
      <c r="AH195" s="2"/>
      <c r="AI195" s="9">
        <f t="shared" si="100"/>
        <v>73.5</v>
      </c>
      <c r="AJ195" s="10">
        <f t="shared" si="196"/>
        <v>0</v>
      </c>
      <c r="AK195" s="10">
        <f t="shared" si="6"/>
        <v>0</v>
      </c>
      <c r="AL195" s="9">
        <f t="shared" si="98"/>
        <v>73.5</v>
      </c>
      <c r="AM195" s="10">
        <f t="shared" si="85"/>
        <v>0</v>
      </c>
      <c r="AN195" s="10">
        <f t="shared" si="9"/>
        <v>0</v>
      </c>
      <c r="AO195" s="10">
        <f t="shared" si="10"/>
        <v>0</v>
      </c>
    </row>
    <row r="196" spans="1:41">
      <c r="A196" s="3">
        <v>30042</v>
      </c>
      <c r="B196" s="2" t="s">
        <v>332</v>
      </c>
      <c r="C196" s="3"/>
      <c r="D196" s="3" t="s">
        <v>46</v>
      </c>
      <c r="E196" s="3" t="s">
        <v>330</v>
      </c>
      <c r="F196" s="3" t="s">
        <v>61</v>
      </c>
      <c r="G196" s="3" t="s">
        <v>191</v>
      </c>
      <c r="H196" s="3"/>
      <c r="I196" s="3" t="s">
        <v>54</v>
      </c>
      <c r="J196" s="3" t="s">
        <v>49</v>
      </c>
      <c r="K196" s="4"/>
      <c r="L196" s="3"/>
      <c r="M196" s="4"/>
      <c r="N196" s="2">
        <v>5</v>
      </c>
      <c r="O196" s="5" t="s">
        <v>55</v>
      </c>
      <c r="P196" s="6"/>
      <c r="Q196" s="26">
        <f t="shared" si="0"/>
        <v>0</v>
      </c>
      <c r="R196" s="27">
        <v>1.5</v>
      </c>
      <c r="S196" s="2"/>
      <c r="T196" s="2">
        <v>51</v>
      </c>
      <c r="U196" s="2"/>
      <c r="V196" s="10">
        <v>0</v>
      </c>
      <c r="W196" s="10">
        <v>3800</v>
      </c>
      <c r="X196" s="10">
        <v>0</v>
      </c>
      <c r="Y196" s="10">
        <v>4</v>
      </c>
      <c r="Z196" s="2">
        <f t="shared" ref="Z196:AC196" si="213">_xlfn.RANK.EQ(V196,V$4:V$200)</f>
        <v>168</v>
      </c>
      <c r="AA196" s="2">
        <f t="shared" si="213"/>
        <v>189</v>
      </c>
      <c r="AB196" s="2">
        <f t="shared" si="213"/>
        <v>176</v>
      </c>
      <c r="AC196" s="2">
        <f t="shared" si="213"/>
        <v>193</v>
      </c>
      <c r="AD196" s="10">
        <f t="shared" si="2"/>
        <v>2</v>
      </c>
      <c r="AE196" s="2">
        <v>85</v>
      </c>
      <c r="AF196" s="10">
        <f t="shared" si="3"/>
        <v>4</v>
      </c>
      <c r="AG196" s="2"/>
      <c r="AH196" s="2"/>
      <c r="AI196" s="9">
        <f t="shared" si="100"/>
        <v>57</v>
      </c>
      <c r="AJ196" s="10">
        <f t="shared" si="196"/>
        <v>0</v>
      </c>
      <c r="AK196" s="10">
        <f t="shared" si="6"/>
        <v>0</v>
      </c>
      <c r="AL196" s="9">
        <f t="shared" si="98"/>
        <v>57</v>
      </c>
      <c r="AM196" s="10">
        <f t="shared" si="85"/>
        <v>0</v>
      </c>
      <c r="AN196" s="10">
        <f t="shared" si="9"/>
        <v>0</v>
      </c>
      <c r="AO196" s="10">
        <f t="shared" si="10"/>
        <v>0</v>
      </c>
    </row>
    <row r="197" spans="1:41">
      <c r="A197" s="3">
        <v>30062</v>
      </c>
      <c r="B197" s="2" t="s">
        <v>333</v>
      </c>
      <c r="C197" s="3"/>
      <c r="D197" s="3" t="s">
        <v>46</v>
      </c>
      <c r="E197" s="3" t="s">
        <v>60</v>
      </c>
      <c r="F197" s="3" t="s">
        <v>61</v>
      </c>
      <c r="G197" s="3" t="s">
        <v>75</v>
      </c>
      <c r="H197" s="3"/>
      <c r="I197" s="3" t="s">
        <v>48</v>
      </c>
      <c r="J197" s="3" t="s">
        <v>49</v>
      </c>
      <c r="K197" s="4">
        <v>100</v>
      </c>
      <c r="L197" s="3"/>
      <c r="M197" s="4"/>
      <c r="N197" s="2">
        <v>5</v>
      </c>
      <c r="O197" s="5" t="s">
        <v>55</v>
      </c>
      <c r="P197" s="25">
        <v>69.12</v>
      </c>
      <c r="Q197" s="26">
        <f t="shared" si="0"/>
        <v>2177.2800000000002</v>
      </c>
      <c r="R197" s="27">
        <v>1.5</v>
      </c>
      <c r="S197" s="2"/>
      <c r="T197" s="2">
        <v>51</v>
      </c>
      <c r="U197" s="2"/>
      <c r="V197" s="10">
        <v>0</v>
      </c>
      <c r="W197" s="10">
        <v>27124</v>
      </c>
      <c r="X197" s="10">
        <v>0</v>
      </c>
      <c r="Y197" s="10">
        <v>8</v>
      </c>
      <c r="Z197" s="2">
        <f t="shared" ref="Z197:AC197" si="214">_xlfn.RANK.EQ(V197,V$4:V$200)</f>
        <v>168</v>
      </c>
      <c r="AA197" s="2">
        <f t="shared" si="214"/>
        <v>151</v>
      </c>
      <c r="AB197" s="2">
        <f t="shared" si="214"/>
        <v>176</v>
      </c>
      <c r="AC197" s="2">
        <f t="shared" si="214"/>
        <v>182</v>
      </c>
      <c r="AD197" s="10">
        <f t="shared" si="2"/>
        <v>4</v>
      </c>
      <c r="AE197" s="2"/>
      <c r="AF197" s="10">
        <f t="shared" si="3"/>
        <v>8</v>
      </c>
      <c r="AG197" s="2">
        <v>230</v>
      </c>
      <c r="AH197" s="2"/>
      <c r="AI197" s="9">
        <f t="shared" si="100"/>
        <v>63</v>
      </c>
      <c r="AJ197" s="10">
        <f t="shared" si="196"/>
        <v>0</v>
      </c>
      <c r="AK197" s="10">
        <f t="shared" si="6"/>
        <v>0</v>
      </c>
      <c r="AL197" s="9">
        <f t="shared" si="98"/>
        <v>63</v>
      </c>
      <c r="AM197" s="10">
        <f t="shared" si="85"/>
        <v>0</v>
      </c>
      <c r="AN197" s="10">
        <f t="shared" si="9"/>
        <v>0</v>
      </c>
      <c r="AO197" s="10">
        <f t="shared" si="10"/>
        <v>0</v>
      </c>
    </row>
    <row r="198" spans="1:41">
      <c r="A198" s="3">
        <v>80023</v>
      </c>
      <c r="B198" s="2" t="s">
        <v>334</v>
      </c>
      <c r="C198" s="3"/>
      <c r="D198" s="3" t="s">
        <v>46</v>
      </c>
      <c r="E198" s="3" t="s">
        <v>330</v>
      </c>
      <c r="F198" s="3" t="s">
        <v>61</v>
      </c>
      <c r="G198" s="3" t="s">
        <v>230</v>
      </c>
      <c r="H198" s="3"/>
      <c r="I198" s="3" t="s">
        <v>54</v>
      </c>
      <c r="J198" s="3" t="s">
        <v>49</v>
      </c>
      <c r="K198" s="4"/>
      <c r="L198" s="3"/>
      <c r="M198" s="4"/>
      <c r="N198" s="2">
        <v>5</v>
      </c>
      <c r="O198" s="5" t="s">
        <v>55</v>
      </c>
      <c r="P198" s="6"/>
      <c r="Q198" s="26">
        <f t="shared" si="0"/>
        <v>0</v>
      </c>
      <c r="R198" s="27">
        <v>1.5</v>
      </c>
      <c r="S198" s="2"/>
      <c r="T198" s="2">
        <v>102</v>
      </c>
      <c r="U198" s="2"/>
      <c r="V198" s="10">
        <v>0</v>
      </c>
      <c r="W198" s="10">
        <v>18102</v>
      </c>
      <c r="X198" s="10">
        <v>0</v>
      </c>
      <c r="Y198" s="10">
        <v>12</v>
      </c>
      <c r="Z198" s="2">
        <f t="shared" ref="Z198:AC198" si="215">_xlfn.RANK.EQ(V198,V$4:V$200)</f>
        <v>168</v>
      </c>
      <c r="AA198" s="2">
        <f t="shared" si="215"/>
        <v>164</v>
      </c>
      <c r="AB198" s="2">
        <f t="shared" si="215"/>
        <v>176</v>
      </c>
      <c r="AC198" s="2">
        <f t="shared" si="215"/>
        <v>161</v>
      </c>
      <c r="AD198" s="10">
        <f t="shared" si="2"/>
        <v>6</v>
      </c>
      <c r="AE198" s="2"/>
      <c r="AF198" s="10">
        <f t="shared" si="3"/>
        <v>12</v>
      </c>
      <c r="AG198" s="2">
        <v>200</v>
      </c>
      <c r="AH198" s="2"/>
      <c r="AI198" s="9">
        <f t="shared" si="100"/>
        <v>120</v>
      </c>
      <c r="AJ198" s="10">
        <f t="shared" si="196"/>
        <v>0</v>
      </c>
      <c r="AK198" s="10">
        <f t="shared" si="6"/>
        <v>0</v>
      </c>
      <c r="AL198" s="9">
        <f t="shared" si="98"/>
        <v>120</v>
      </c>
      <c r="AM198" s="10">
        <f t="shared" si="85"/>
        <v>0</v>
      </c>
      <c r="AN198" s="10">
        <f t="shared" si="9"/>
        <v>0</v>
      </c>
      <c r="AO198" s="10">
        <f t="shared" si="10"/>
        <v>0</v>
      </c>
    </row>
    <row r="199" spans="1:41">
      <c r="A199" s="3">
        <v>80046</v>
      </c>
      <c r="B199" s="2" t="s">
        <v>335</v>
      </c>
      <c r="C199" s="3"/>
      <c r="D199" s="3" t="s">
        <v>46</v>
      </c>
      <c r="E199" s="3" t="s">
        <v>60</v>
      </c>
      <c r="F199" s="3" t="s">
        <v>61</v>
      </c>
      <c r="G199" s="3" t="s">
        <v>75</v>
      </c>
      <c r="H199" s="3"/>
      <c r="I199" s="3" t="s">
        <v>48</v>
      </c>
      <c r="J199" s="3" t="s">
        <v>49</v>
      </c>
      <c r="K199" s="4"/>
      <c r="L199" s="3"/>
      <c r="M199" s="4"/>
      <c r="N199" s="2">
        <v>5</v>
      </c>
      <c r="O199" s="5" t="s">
        <v>55</v>
      </c>
      <c r="P199" s="25">
        <v>20</v>
      </c>
      <c r="Q199" s="26">
        <f t="shared" si="0"/>
        <v>630</v>
      </c>
      <c r="R199" s="27">
        <v>1.5</v>
      </c>
      <c r="S199" s="2"/>
      <c r="T199" s="2">
        <v>51</v>
      </c>
      <c r="U199" s="2"/>
      <c r="V199" s="10">
        <v>0</v>
      </c>
      <c r="W199" s="10">
        <v>58127</v>
      </c>
      <c r="X199" s="10">
        <v>0</v>
      </c>
      <c r="Y199" s="10">
        <v>48</v>
      </c>
      <c r="Z199" s="2">
        <f t="shared" ref="Z199:AC199" si="216">_xlfn.RANK.EQ(V199,V$4:V$200)</f>
        <v>168</v>
      </c>
      <c r="AA199" s="2">
        <f t="shared" si="216"/>
        <v>93</v>
      </c>
      <c r="AB199" s="2">
        <f t="shared" si="216"/>
        <v>176</v>
      </c>
      <c r="AC199" s="2">
        <f t="shared" si="216"/>
        <v>76</v>
      </c>
      <c r="AD199" s="10">
        <f t="shared" si="2"/>
        <v>24</v>
      </c>
      <c r="AE199" s="2"/>
      <c r="AF199" s="10">
        <f t="shared" si="3"/>
        <v>48</v>
      </c>
      <c r="AG199" s="2">
        <v>188</v>
      </c>
      <c r="AH199" s="2"/>
      <c r="AI199" s="9">
        <f t="shared" si="100"/>
        <v>123</v>
      </c>
      <c r="AJ199" s="10">
        <f t="shared" si="196"/>
        <v>0</v>
      </c>
      <c r="AK199" s="10">
        <f t="shared" si="6"/>
        <v>0</v>
      </c>
      <c r="AL199" s="9">
        <f t="shared" si="98"/>
        <v>123</v>
      </c>
      <c r="AM199" s="10">
        <f t="shared" si="85"/>
        <v>0</v>
      </c>
      <c r="AN199" s="10">
        <f t="shared" si="9"/>
        <v>0</v>
      </c>
      <c r="AO199" s="10">
        <f t="shared" si="10"/>
        <v>0</v>
      </c>
    </row>
    <row r="200" spans="1:41">
      <c r="A200" s="24" t="s">
        <v>336</v>
      </c>
      <c r="B200" s="2" t="s">
        <v>337</v>
      </c>
      <c r="C200" s="3"/>
      <c r="D200" s="3" t="s">
        <v>46</v>
      </c>
      <c r="E200" s="3" t="s">
        <v>46</v>
      </c>
      <c r="F200" s="3"/>
      <c r="G200" s="3" t="s">
        <v>338</v>
      </c>
      <c r="H200" s="3"/>
      <c r="I200" s="3" t="s">
        <v>54</v>
      </c>
      <c r="J200" s="3" t="s">
        <v>49</v>
      </c>
      <c r="K200" s="4">
        <v>1000</v>
      </c>
      <c r="L200" s="3"/>
      <c r="M200" s="4"/>
      <c r="N200" s="2">
        <v>5</v>
      </c>
      <c r="O200" s="40" t="s">
        <v>50</v>
      </c>
      <c r="P200" s="6">
        <v>800</v>
      </c>
      <c r="Q200" s="26">
        <f t="shared" si="0"/>
        <v>800</v>
      </c>
      <c r="R200" s="27">
        <v>1.5</v>
      </c>
      <c r="S200" s="2"/>
      <c r="T200" s="2">
        <v>112</v>
      </c>
      <c r="U200" s="2"/>
      <c r="V200" s="10">
        <v>0</v>
      </c>
      <c r="W200" s="10">
        <v>40425</v>
      </c>
      <c r="X200" s="10">
        <v>0</v>
      </c>
      <c r="Y200" s="10">
        <v>27</v>
      </c>
      <c r="Z200" s="2">
        <f t="shared" ref="Z200:AC200" si="217">_xlfn.RANK.EQ(V200,V$4:V$200)</f>
        <v>168</v>
      </c>
      <c r="AA200" s="2">
        <f t="shared" si="217"/>
        <v>121</v>
      </c>
      <c r="AB200" s="2">
        <f t="shared" si="217"/>
        <v>176</v>
      </c>
      <c r="AC200" s="2">
        <f t="shared" si="217"/>
        <v>109</v>
      </c>
      <c r="AD200" s="10">
        <f t="shared" si="2"/>
        <v>13.5</v>
      </c>
      <c r="AE200" s="2">
        <v>450</v>
      </c>
      <c r="AF200" s="10">
        <f t="shared" si="3"/>
        <v>27</v>
      </c>
      <c r="AG200" s="2">
        <v>550</v>
      </c>
      <c r="AH200" s="2"/>
      <c r="AI200" s="9">
        <f t="shared" si="100"/>
        <v>152.5</v>
      </c>
      <c r="AJ200" s="10">
        <f t="shared" si="196"/>
        <v>0</v>
      </c>
      <c r="AK200" s="10">
        <f t="shared" si="6"/>
        <v>0</v>
      </c>
      <c r="AL200" s="9">
        <f t="shared" si="98"/>
        <v>152.5</v>
      </c>
      <c r="AM200" s="10">
        <f t="shared" si="85"/>
        <v>0</v>
      </c>
      <c r="AN200" s="10">
        <f t="shared" si="9"/>
        <v>0</v>
      </c>
      <c r="AO200" s="10">
        <f t="shared" si="10"/>
        <v>0</v>
      </c>
    </row>
  </sheetData>
  <autoFilter ref="A3:AO200" xr:uid="{00000000-0009-0000-0000-000000000000}"/>
  <customSheetViews>
    <customSheetView guid="{588A9B9D-63D4-480D-9DB7-254FA2C3E016}" filter="1" showAutoFilter="1">
      <pageMargins left="0.7" right="0.7" top="0.75" bottom="0.75" header="0.3" footer="0.3"/>
      <autoFilter ref="A3:AK200" xr:uid="{DE266128-B793-4793-AADD-0E19EA035BB8}">
        <filterColumn colId="11">
          <filters>
            <filter val="USD"/>
          </filters>
        </filterColumn>
      </autoFilter>
    </customSheetView>
    <customSheetView guid="{3316CB4D-30B4-4B30-8B85-16B9D80CAB67}" filter="1" showAutoFilter="1">
      <pageMargins left="0.7" right="0.7" top="0.75" bottom="0.75" header="0.3" footer="0.3"/>
      <autoFilter ref="A3:AK200" xr:uid="{7B2235DB-13AA-43BF-8E54-F6717FA66365}"/>
    </customSheetView>
    <customSheetView guid="{714E6E93-4116-47F0-BD54-4578503BFB55}" filter="1" showAutoFilter="1">
      <pageMargins left="0.7" right="0.7" top="0.75" bottom="0.75" header="0.3" footer="0.3"/>
      <autoFilter ref="A3:AK200" xr:uid="{CABEF28F-91C6-4B34-B058-3339FB4E2ECE}">
        <filterColumn colId="3">
          <filters>
            <filter val="A"/>
          </filters>
        </filterColumn>
      </autoFilter>
    </customSheetView>
    <customSheetView guid="{EEC4170B-C5FE-4276-8AC2-A74F6334539C}" filter="1" showAutoFilter="1">
      <pageMargins left="0.7" right="0.7" top="0.75" bottom="0.75" header="0.3" footer="0.3"/>
      <autoFilter ref="A3:AK200" xr:uid="{D8DF6EB9-25BE-4E49-9BE2-7BF863D151E3}">
        <filterColumn colId="9">
          <filters>
            <filter val="寄售"/>
          </filters>
        </filterColumn>
      </autoFilter>
    </customSheetView>
    <customSheetView guid="{3DB84794-49D6-4591-9845-EA1A309199E5}" filter="1" showAutoFilter="1">
      <pageMargins left="0.7" right="0.7" top="0.75" bottom="0.75" header="0.3" footer="0.3"/>
      <autoFilter ref="A3:AK200" xr:uid="{6BBA5E19-1F10-4932-A8CD-F2DFAE2E3DEB}"/>
    </customSheetView>
    <customSheetView guid="{5E0525A9-7AE6-4B00-BDC9-4648C2BCC1F8}" filter="1" showAutoFilter="1">
      <pageMargins left="0.7" right="0.7" top="0.75" bottom="0.75" header="0.3" footer="0.3"/>
      <autoFilter ref="A3:AK200" xr:uid="{156A5595-9B08-48DE-A6DE-08E06815F5F7}"/>
    </customSheetView>
  </customSheetViews>
  <mergeCells count="6">
    <mergeCell ref="AB2:AC2"/>
    <mergeCell ref="C1:D1"/>
    <mergeCell ref="T2:U2"/>
    <mergeCell ref="V2:W2"/>
    <mergeCell ref="X2:Y2"/>
    <mergeCell ref="Z2:AA2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K2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.75" customHeight="1" outlineLevelCol="1"/>
  <cols>
    <col min="2" max="2" width="36.21875" customWidth="1"/>
    <col min="3" max="5" width="9.77734375" customWidth="1"/>
    <col min="14" max="14" width="12.6640625" collapsed="1"/>
    <col min="15" max="21" width="12.6640625" hidden="1" outlineLevel="1"/>
    <col min="22" max="29" width="10.109375" hidden="1" customWidth="1" outlineLevel="1"/>
    <col min="30" max="34" width="12.6640625" hidden="1" outlineLevel="1"/>
  </cols>
  <sheetData>
    <row r="1" spans="1:37">
      <c r="A1" s="1" t="s">
        <v>0</v>
      </c>
      <c r="B1" s="2"/>
      <c r="C1" s="43" t="s">
        <v>1</v>
      </c>
      <c r="D1" s="44"/>
      <c r="E1" s="3"/>
      <c r="F1" s="3"/>
      <c r="G1" s="3"/>
      <c r="H1" s="3"/>
      <c r="I1" s="3"/>
      <c r="J1" s="3"/>
      <c r="K1" s="4"/>
      <c r="L1" s="3"/>
      <c r="M1" s="4"/>
      <c r="N1" s="2"/>
      <c r="O1" s="5"/>
      <c r="P1" s="6"/>
      <c r="Q1" s="2"/>
      <c r="R1" s="7"/>
      <c r="S1" s="2"/>
      <c r="T1" s="3"/>
      <c r="U1" s="3"/>
      <c r="V1" s="8"/>
      <c r="W1" s="3"/>
      <c r="X1" s="3"/>
      <c r="Y1" s="3"/>
      <c r="Z1" s="3"/>
      <c r="AA1" s="3"/>
      <c r="AB1" s="3"/>
      <c r="AC1" s="3"/>
      <c r="AD1" s="2"/>
      <c r="AE1" s="2"/>
      <c r="AF1" s="2"/>
      <c r="AG1" s="2"/>
      <c r="AH1" s="2"/>
      <c r="AK1" s="10">
        <f>SUM(AK4:AK200)</f>
        <v>1150044.25</v>
      </c>
    </row>
    <row r="2" spans="1:37">
      <c r="A2" s="11" t="s">
        <v>2</v>
      </c>
      <c r="B2" s="2"/>
      <c r="C2" s="12" t="s">
        <v>3</v>
      </c>
      <c r="D2" s="3"/>
      <c r="E2" s="3"/>
      <c r="F2" s="3"/>
      <c r="G2" s="3"/>
      <c r="H2" s="3"/>
      <c r="I2" s="3"/>
      <c r="J2" s="3"/>
      <c r="K2" s="13" t="s">
        <v>4</v>
      </c>
      <c r="L2" s="14"/>
      <c r="M2" s="15"/>
      <c r="N2" s="2"/>
      <c r="O2" s="5"/>
      <c r="P2" s="6"/>
      <c r="Q2" s="2"/>
      <c r="R2" s="7" t="s">
        <v>5</v>
      </c>
      <c r="S2" s="2"/>
      <c r="T2" s="45" t="s">
        <v>6</v>
      </c>
      <c r="U2" s="46"/>
      <c r="V2" s="47" t="s">
        <v>7</v>
      </c>
      <c r="W2" s="46"/>
      <c r="X2" s="48" t="s">
        <v>8</v>
      </c>
      <c r="Y2" s="46"/>
      <c r="Z2" s="45" t="s">
        <v>9</v>
      </c>
      <c r="AA2" s="46"/>
      <c r="AB2" s="45" t="s">
        <v>10</v>
      </c>
      <c r="AC2" s="46"/>
      <c r="AD2" s="2"/>
      <c r="AE2" s="2"/>
      <c r="AF2" s="2"/>
      <c r="AG2" s="2"/>
      <c r="AH2" s="2"/>
      <c r="AI2" s="13" t="s">
        <v>4</v>
      </c>
      <c r="AJ2" s="16"/>
      <c r="AK2" s="16"/>
    </row>
    <row r="3" spans="1:37">
      <c r="A3" s="17" t="s">
        <v>11</v>
      </c>
      <c r="B3" s="17" t="s">
        <v>12</v>
      </c>
      <c r="C3" s="18" t="s">
        <v>13</v>
      </c>
      <c r="D3" s="18" t="s">
        <v>14</v>
      </c>
      <c r="E3" s="18" t="s">
        <v>15</v>
      </c>
      <c r="F3" s="18" t="s">
        <v>16</v>
      </c>
      <c r="G3" s="18" t="s">
        <v>17</v>
      </c>
      <c r="H3" s="18" t="s">
        <v>18</v>
      </c>
      <c r="I3" s="18" t="s">
        <v>19</v>
      </c>
      <c r="J3" s="18" t="s">
        <v>20</v>
      </c>
      <c r="K3" s="19" t="s">
        <v>21</v>
      </c>
      <c r="L3" s="18" t="s">
        <v>22</v>
      </c>
      <c r="M3" s="19" t="s">
        <v>23</v>
      </c>
      <c r="N3" s="18" t="s">
        <v>24</v>
      </c>
      <c r="O3" s="20" t="s">
        <v>25</v>
      </c>
      <c r="P3" s="18" t="s">
        <v>26</v>
      </c>
      <c r="Q3" s="17" t="s">
        <v>27</v>
      </c>
      <c r="R3" s="21" t="s">
        <v>28</v>
      </c>
      <c r="S3" s="17" t="s">
        <v>29</v>
      </c>
      <c r="T3" s="18" t="s">
        <v>30</v>
      </c>
      <c r="U3" s="18" t="s">
        <v>31</v>
      </c>
      <c r="V3" s="22" t="s">
        <v>32</v>
      </c>
      <c r="W3" s="17" t="s">
        <v>33</v>
      </c>
      <c r="X3" s="17" t="s">
        <v>32</v>
      </c>
      <c r="Y3" s="17" t="s">
        <v>33</v>
      </c>
      <c r="Z3" s="17" t="s">
        <v>32</v>
      </c>
      <c r="AA3" s="17" t="s">
        <v>33</v>
      </c>
      <c r="AB3" s="17" t="s">
        <v>32</v>
      </c>
      <c r="AC3" s="17" t="s">
        <v>33</v>
      </c>
      <c r="AD3" s="17" t="s">
        <v>34</v>
      </c>
      <c r="AE3" s="23" t="s">
        <v>35</v>
      </c>
      <c r="AF3" s="23" t="s">
        <v>36</v>
      </c>
      <c r="AG3" s="18" t="s">
        <v>37</v>
      </c>
      <c r="AH3" s="18" t="s">
        <v>38</v>
      </c>
      <c r="AI3" s="17" t="s">
        <v>39</v>
      </c>
      <c r="AJ3" s="22" t="s">
        <v>339</v>
      </c>
      <c r="AK3" s="22" t="s">
        <v>41</v>
      </c>
    </row>
    <row r="4" spans="1:37">
      <c r="A4" s="24" t="s">
        <v>44</v>
      </c>
      <c r="B4" s="2" t="s">
        <v>45</v>
      </c>
      <c r="C4" s="3" t="s">
        <v>46</v>
      </c>
      <c r="D4" s="3" t="s">
        <v>46</v>
      </c>
      <c r="E4" s="3" t="s">
        <v>46</v>
      </c>
      <c r="F4" s="3"/>
      <c r="G4" s="3" t="s">
        <v>47</v>
      </c>
      <c r="H4" s="3"/>
      <c r="I4" s="3" t="s">
        <v>48</v>
      </c>
      <c r="J4" s="3" t="s">
        <v>49</v>
      </c>
      <c r="K4" s="4">
        <v>3000</v>
      </c>
      <c r="L4" s="3"/>
      <c r="M4" s="4"/>
      <c r="N4" s="2">
        <v>5</v>
      </c>
      <c r="O4" s="5" t="s">
        <v>50</v>
      </c>
      <c r="P4" s="25">
        <v>21</v>
      </c>
      <c r="Q4" s="26">
        <f t="shared" ref="Q4:Q200" si="0">IF(O4="TWD",P4,
IF(O4="USD",P4*31.5,
IF(O4="JPY",P4*0.2,
IF(O4="EUR",P4*37,""))))</f>
        <v>21</v>
      </c>
      <c r="R4" s="27">
        <v>1.5</v>
      </c>
      <c r="S4" s="2"/>
      <c r="T4" s="2">
        <v>306</v>
      </c>
      <c r="U4" s="2"/>
      <c r="V4" s="10">
        <v>0</v>
      </c>
      <c r="W4" s="10">
        <v>0</v>
      </c>
      <c r="X4" s="10">
        <v>157</v>
      </c>
      <c r="Y4" s="10">
        <v>272</v>
      </c>
      <c r="Z4" s="2">
        <f t="shared" ref="Z4:AC4" si="1">_xlfn.RANK.EQ(V4,V$4:V$200)</f>
        <v>168</v>
      </c>
      <c r="AA4" s="2">
        <f t="shared" si="1"/>
        <v>190</v>
      </c>
      <c r="AB4" s="2">
        <f t="shared" si="1"/>
        <v>14</v>
      </c>
      <c r="AC4" s="2">
        <f t="shared" si="1"/>
        <v>6</v>
      </c>
      <c r="AD4" s="10">
        <f t="shared" ref="AD4:AD200" si="2">AVERAGE(X4:Y4)</f>
        <v>214.5</v>
      </c>
      <c r="AE4" s="10">
        <v>1219</v>
      </c>
      <c r="AF4" s="10">
        <f t="shared" ref="AF4:AF200" si="3">Y4</f>
        <v>272</v>
      </c>
      <c r="AG4" s="2"/>
      <c r="AH4" s="2"/>
      <c r="AI4" s="41">
        <f t="shared" ref="AI4:AI27" si="4">T4+MAX(AD4,AF4)*1.5</f>
        <v>714</v>
      </c>
      <c r="AJ4" s="10">
        <f t="shared" ref="AJ4:AJ71" si="5">IF(F4="V",0,
   IF(N4="",
      MAX(AI4-(AE4-AF4)-AG4-AH4,0),
      CEILING(MAX(AI4-(AE4-AF4)-AG4-AH4,0),N4)
   )
)</f>
        <v>0</v>
      </c>
      <c r="AK4" s="10">
        <f t="shared" ref="AK4:AK200" si="6">AJ4*Q4</f>
        <v>0</v>
      </c>
    </row>
    <row r="5" spans="1:37">
      <c r="A5" s="3">
        <v>10225</v>
      </c>
      <c r="B5" s="2" t="s">
        <v>51</v>
      </c>
      <c r="C5" s="3" t="s">
        <v>46</v>
      </c>
      <c r="D5" s="3" t="s">
        <v>46</v>
      </c>
      <c r="E5" s="3" t="s">
        <v>46</v>
      </c>
      <c r="F5" s="3"/>
      <c r="G5" s="3" t="s">
        <v>52</v>
      </c>
      <c r="H5" s="3" t="s">
        <v>53</v>
      </c>
      <c r="I5" s="3" t="s">
        <v>54</v>
      </c>
      <c r="J5" s="3" t="s">
        <v>49</v>
      </c>
      <c r="K5" s="4"/>
      <c r="L5" s="3"/>
      <c r="M5" s="4"/>
      <c r="N5" s="2">
        <v>5</v>
      </c>
      <c r="O5" s="5" t="s">
        <v>55</v>
      </c>
      <c r="P5" s="25">
        <v>110.49</v>
      </c>
      <c r="Q5" s="26">
        <f t="shared" si="0"/>
        <v>3480.4349999999999</v>
      </c>
      <c r="R5" s="27">
        <v>2</v>
      </c>
      <c r="S5" s="2"/>
      <c r="T5" s="2">
        <v>173</v>
      </c>
      <c r="U5" s="2"/>
      <c r="V5" s="10">
        <v>204840</v>
      </c>
      <c r="W5" s="10">
        <v>430540</v>
      </c>
      <c r="X5" s="10">
        <v>45</v>
      </c>
      <c r="Y5" s="10">
        <v>94</v>
      </c>
      <c r="Z5" s="2">
        <f t="shared" ref="Z5:AC5" si="7">_xlfn.RANK.EQ(V5,V$4:V$200)</f>
        <v>9</v>
      </c>
      <c r="AA5" s="2">
        <f t="shared" si="7"/>
        <v>5</v>
      </c>
      <c r="AB5" s="2">
        <f t="shared" si="7"/>
        <v>68</v>
      </c>
      <c r="AC5" s="2">
        <f t="shared" si="7"/>
        <v>36</v>
      </c>
      <c r="AD5" s="10">
        <f t="shared" si="2"/>
        <v>69.5</v>
      </c>
      <c r="AE5" s="2">
        <v>230</v>
      </c>
      <c r="AF5" s="10">
        <f t="shared" si="3"/>
        <v>94</v>
      </c>
      <c r="AG5" s="2">
        <v>250</v>
      </c>
      <c r="AH5" s="2"/>
      <c r="AI5" s="41">
        <f t="shared" si="4"/>
        <v>314</v>
      </c>
      <c r="AJ5" s="10">
        <f t="shared" si="5"/>
        <v>0</v>
      </c>
      <c r="AK5" s="10">
        <f t="shared" si="6"/>
        <v>0</v>
      </c>
    </row>
    <row r="6" spans="1:37">
      <c r="A6" s="3">
        <v>10226</v>
      </c>
      <c r="B6" s="2" t="s">
        <v>56</v>
      </c>
      <c r="C6" s="3" t="s">
        <v>46</v>
      </c>
      <c r="D6" s="3" t="s">
        <v>46</v>
      </c>
      <c r="E6" s="3" t="s">
        <v>46</v>
      </c>
      <c r="F6" s="3"/>
      <c r="G6" s="3" t="s">
        <v>52</v>
      </c>
      <c r="H6" s="3" t="s">
        <v>53</v>
      </c>
      <c r="I6" s="3" t="s">
        <v>54</v>
      </c>
      <c r="J6" s="3" t="s">
        <v>49</v>
      </c>
      <c r="K6" s="4"/>
      <c r="L6" s="3"/>
      <c r="M6" s="4"/>
      <c r="N6" s="2">
        <v>5</v>
      </c>
      <c r="O6" s="5" t="s">
        <v>55</v>
      </c>
      <c r="P6" s="25">
        <v>90.77</v>
      </c>
      <c r="Q6" s="26">
        <f t="shared" si="0"/>
        <v>2859.2549999999997</v>
      </c>
      <c r="R6" s="27">
        <v>2</v>
      </c>
      <c r="S6" s="2"/>
      <c r="T6" s="2">
        <v>51</v>
      </c>
      <c r="U6" s="2"/>
      <c r="V6" s="10">
        <v>59765</v>
      </c>
      <c r="W6" s="10">
        <v>86526</v>
      </c>
      <c r="X6" s="10">
        <v>16</v>
      </c>
      <c r="Y6" s="10">
        <v>23</v>
      </c>
      <c r="Z6" s="2">
        <f t="shared" ref="Z6:AC6" si="8">_xlfn.RANK.EQ(V6,V$4:V$200)</f>
        <v>74</v>
      </c>
      <c r="AA6" s="2">
        <f t="shared" si="8"/>
        <v>59</v>
      </c>
      <c r="AB6" s="2">
        <f t="shared" si="8"/>
        <v>123</v>
      </c>
      <c r="AC6" s="2">
        <f t="shared" si="8"/>
        <v>122</v>
      </c>
      <c r="AD6" s="10">
        <f t="shared" si="2"/>
        <v>19.5</v>
      </c>
      <c r="AE6" s="2">
        <v>150</v>
      </c>
      <c r="AF6" s="10">
        <f t="shared" si="3"/>
        <v>23</v>
      </c>
      <c r="AG6" s="2">
        <v>72</v>
      </c>
      <c r="AH6" s="2">
        <v>50</v>
      </c>
      <c r="AI6" s="41">
        <f t="shared" si="4"/>
        <v>85.5</v>
      </c>
      <c r="AJ6" s="10">
        <f t="shared" si="5"/>
        <v>0</v>
      </c>
      <c r="AK6" s="10">
        <f t="shared" si="6"/>
        <v>0</v>
      </c>
    </row>
    <row r="7" spans="1:37">
      <c r="A7" s="3">
        <v>10285</v>
      </c>
      <c r="B7" s="2" t="s">
        <v>57</v>
      </c>
      <c r="C7" s="3" t="s">
        <v>46</v>
      </c>
      <c r="D7" s="3" t="s">
        <v>46</v>
      </c>
      <c r="E7" s="3" t="s">
        <v>46</v>
      </c>
      <c r="F7" s="3"/>
      <c r="G7" s="3" t="s">
        <v>52</v>
      </c>
      <c r="H7" s="3" t="s">
        <v>58</v>
      </c>
      <c r="I7" s="3" t="s">
        <v>54</v>
      </c>
      <c r="J7" s="3" t="s">
        <v>49</v>
      </c>
      <c r="K7" s="4"/>
      <c r="L7" s="3"/>
      <c r="M7" s="4"/>
      <c r="N7" s="2">
        <v>5</v>
      </c>
      <c r="O7" s="5" t="s">
        <v>55</v>
      </c>
      <c r="P7" s="25">
        <v>106.7</v>
      </c>
      <c r="Q7" s="26">
        <f t="shared" si="0"/>
        <v>3361.05</v>
      </c>
      <c r="R7" s="27">
        <v>2</v>
      </c>
      <c r="S7" s="2"/>
      <c r="T7" s="2">
        <v>102</v>
      </c>
      <c r="U7" s="2"/>
      <c r="V7" s="10">
        <v>177468</v>
      </c>
      <c r="W7" s="10">
        <v>289712</v>
      </c>
      <c r="X7" s="10">
        <v>38</v>
      </c>
      <c r="Y7" s="10">
        <v>62</v>
      </c>
      <c r="Z7" s="2">
        <f t="shared" ref="Z7:AC7" si="9">_xlfn.RANK.EQ(V7,V$4:V$200)</f>
        <v>12</v>
      </c>
      <c r="AA7" s="2">
        <f t="shared" si="9"/>
        <v>7</v>
      </c>
      <c r="AB7" s="2">
        <f t="shared" si="9"/>
        <v>83</v>
      </c>
      <c r="AC7" s="2">
        <f t="shared" si="9"/>
        <v>53</v>
      </c>
      <c r="AD7" s="10">
        <f t="shared" si="2"/>
        <v>50</v>
      </c>
      <c r="AE7" s="2">
        <v>139</v>
      </c>
      <c r="AF7" s="10">
        <f t="shared" si="3"/>
        <v>62</v>
      </c>
      <c r="AG7" s="2">
        <v>55</v>
      </c>
      <c r="AI7" s="41">
        <f t="shared" si="4"/>
        <v>195</v>
      </c>
      <c r="AJ7" s="10">
        <f t="shared" si="5"/>
        <v>65</v>
      </c>
      <c r="AK7" s="10">
        <f t="shared" si="6"/>
        <v>218468.25</v>
      </c>
    </row>
    <row r="8" spans="1:37">
      <c r="A8" s="3">
        <v>10184</v>
      </c>
      <c r="B8" s="2" t="s">
        <v>59</v>
      </c>
      <c r="C8" s="3" t="s">
        <v>46</v>
      </c>
      <c r="D8" s="3" t="s">
        <v>46</v>
      </c>
      <c r="E8" s="3" t="s">
        <v>60</v>
      </c>
      <c r="F8" s="3" t="s">
        <v>61</v>
      </c>
      <c r="G8" s="3" t="s">
        <v>62</v>
      </c>
      <c r="H8" s="3" t="s">
        <v>58</v>
      </c>
      <c r="I8" s="3" t="s">
        <v>63</v>
      </c>
      <c r="J8" s="3" t="s">
        <v>49</v>
      </c>
      <c r="K8" s="4"/>
      <c r="L8" s="3"/>
      <c r="M8" s="4"/>
      <c r="N8" s="2">
        <v>5</v>
      </c>
      <c r="O8" s="5" t="s">
        <v>55</v>
      </c>
      <c r="P8" s="25">
        <v>53.28</v>
      </c>
      <c r="Q8" s="26">
        <f t="shared" si="0"/>
        <v>1678.32</v>
      </c>
      <c r="R8" s="27">
        <v>1.5</v>
      </c>
      <c r="S8" s="2"/>
      <c r="T8" s="2">
        <v>51</v>
      </c>
      <c r="U8" s="2"/>
      <c r="V8" s="10">
        <v>66305</v>
      </c>
      <c r="W8" s="10">
        <v>99660</v>
      </c>
      <c r="X8" s="10">
        <v>26</v>
      </c>
      <c r="Y8" s="10">
        <v>39</v>
      </c>
      <c r="Z8" s="2">
        <f t="shared" ref="Z8:AC8" si="10">_xlfn.RANK.EQ(V8,V$4:V$200)</f>
        <v>62</v>
      </c>
      <c r="AA8" s="2">
        <f t="shared" si="10"/>
        <v>51</v>
      </c>
      <c r="AB8" s="2">
        <f t="shared" si="10"/>
        <v>102</v>
      </c>
      <c r="AC8" s="2">
        <f t="shared" si="10"/>
        <v>92</v>
      </c>
      <c r="AD8" s="10">
        <f t="shared" si="2"/>
        <v>32.5</v>
      </c>
      <c r="AE8" s="2">
        <v>119</v>
      </c>
      <c r="AF8" s="10">
        <f t="shared" si="3"/>
        <v>39</v>
      </c>
      <c r="AG8" s="2"/>
      <c r="AH8" s="2"/>
      <c r="AI8" s="41">
        <f t="shared" si="4"/>
        <v>109.5</v>
      </c>
      <c r="AJ8" s="10">
        <f t="shared" si="5"/>
        <v>0</v>
      </c>
      <c r="AK8" s="10">
        <f t="shared" si="6"/>
        <v>0</v>
      </c>
    </row>
    <row r="9" spans="1:37">
      <c r="A9" s="3">
        <v>10424</v>
      </c>
      <c r="B9" s="2" t="s">
        <v>64</v>
      </c>
      <c r="C9" s="3" t="s">
        <v>46</v>
      </c>
      <c r="D9" s="3" t="s">
        <v>46</v>
      </c>
      <c r="E9" s="3" t="s">
        <v>46</v>
      </c>
      <c r="F9" s="3"/>
      <c r="G9" s="3" t="s">
        <v>52</v>
      </c>
      <c r="H9" s="3" t="s">
        <v>58</v>
      </c>
      <c r="I9" s="3" t="s">
        <v>54</v>
      </c>
      <c r="J9" s="3" t="s">
        <v>49</v>
      </c>
      <c r="K9" s="4"/>
      <c r="L9" s="3"/>
      <c r="M9" s="4"/>
      <c r="N9" s="2">
        <v>5</v>
      </c>
      <c r="O9" s="5" t="s">
        <v>55</v>
      </c>
      <c r="P9" s="25">
        <v>43.45</v>
      </c>
      <c r="Q9" s="26">
        <f t="shared" si="0"/>
        <v>1368.6750000000002</v>
      </c>
      <c r="R9" s="27">
        <v>2</v>
      </c>
      <c r="S9" s="2"/>
      <c r="T9" s="2">
        <v>112</v>
      </c>
      <c r="U9" s="2"/>
      <c r="V9" s="10">
        <v>210431</v>
      </c>
      <c r="W9" s="10">
        <v>223626</v>
      </c>
      <c r="X9" s="10">
        <v>111</v>
      </c>
      <c r="Y9" s="10">
        <v>118</v>
      </c>
      <c r="Z9" s="2">
        <f t="shared" ref="Z9:AC9" si="11">_xlfn.RANK.EQ(V9,V$4:V$200)</f>
        <v>8</v>
      </c>
      <c r="AA9" s="2">
        <f t="shared" si="11"/>
        <v>11</v>
      </c>
      <c r="AB9" s="2">
        <f t="shared" si="11"/>
        <v>24</v>
      </c>
      <c r="AC9" s="2">
        <f t="shared" si="11"/>
        <v>26</v>
      </c>
      <c r="AD9" s="10">
        <f t="shared" si="2"/>
        <v>114.5</v>
      </c>
      <c r="AE9" s="2">
        <v>751</v>
      </c>
      <c r="AF9" s="10">
        <f t="shared" si="3"/>
        <v>118</v>
      </c>
      <c r="AG9" s="2"/>
      <c r="AH9" s="2"/>
      <c r="AI9" s="41">
        <f t="shared" si="4"/>
        <v>289</v>
      </c>
      <c r="AJ9" s="10">
        <f t="shared" si="5"/>
        <v>0</v>
      </c>
      <c r="AK9" s="10">
        <f t="shared" si="6"/>
        <v>0</v>
      </c>
    </row>
    <row r="10" spans="1:37">
      <c r="A10" s="3">
        <v>10419</v>
      </c>
      <c r="B10" s="2" t="s">
        <v>65</v>
      </c>
      <c r="C10" s="3" t="s">
        <v>46</v>
      </c>
      <c r="D10" s="3" t="s">
        <v>46</v>
      </c>
      <c r="E10" s="3" t="s">
        <v>46</v>
      </c>
      <c r="F10" s="3"/>
      <c r="G10" s="3" t="s">
        <v>52</v>
      </c>
      <c r="H10" s="3" t="s">
        <v>58</v>
      </c>
      <c r="I10" s="3" t="s">
        <v>54</v>
      </c>
      <c r="J10" s="3" t="s">
        <v>49</v>
      </c>
      <c r="K10" s="4"/>
      <c r="L10" s="3"/>
      <c r="M10" s="4"/>
      <c r="N10" s="2">
        <v>5</v>
      </c>
      <c r="O10" s="5" t="s">
        <v>55</v>
      </c>
      <c r="P10" s="25">
        <v>24.75</v>
      </c>
      <c r="Q10" s="26">
        <f t="shared" si="0"/>
        <v>779.625</v>
      </c>
      <c r="R10" s="27">
        <v>2</v>
      </c>
      <c r="S10" s="2"/>
      <c r="T10" s="2">
        <v>102</v>
      </c>
      <c r="U10" s="2"/>
      <c r="V10" s="10">
        <v>57388</v>
      </c>
      <c r="W10" s="10">
        <v>91791</v>
      </c>
      <c r="X10" s="10">
        <v>53</v>
      </c>
      <c r="Y10" s="10">
        <v>85</v>
      </c>
      <c r="Z10" s="2">
        <f t="shared" ref="Z10:AC10" si="12">_xlfn.RANK.EQ(V10,V$4:V$200)</f>
        <v>80</v>
      </c>
      <c r="AA10" s="2">
        <f t="shared" si="12"/>
        <v>56</v>
      </c>
      <c r="AB10" s="2">
        <f t="shared" si="12"/>
        <v>58</v>
      </c>
      <c r="AC10" s="2">
        <f t="shared" si="12"/>
        <v>41</v>
      </c>
      <c r="AD10" s="10">
        <f t="shared" si="2"/>
        <v>69</v>
      </c>
      <c r="AE10" s="2">
        <v>622</v>
      </c>
      <c r="AF10" s="10">
        <f t="shared" si="3"/>
        <v>85</v>
      </c>
      <c r="AG10" s="2"/>
      <c r="AH10" s="2"/>
      <c r="AI10" s="41">
        <f t="shared" si="4"/>
        <v>229.5</v>
      </c>
      <c r="AJ10" s="10">
        <f t="shared" si="5"/>
        <v>0</v>
      </c>
      <c r="AK10" s="10">
        <f t="shared" si="6"/>
        <v>0</v>
      </c>
    </row>
    <row r="11" spans="1:37">
      <c r="A11" s="3">
        <v>10420</v>
      </c>
      <c r="B11" s="2" t="s">
        <v>66</v>
      </c>
      <c r="C11" s="3" t="s">
        <v>46</v>
      </c>
      <c r="D11" s="3" t="s">
        <v>46</v>
      </c>
      <c r="E11" s="3" t="s">
        <v>46</v>
      </c>
      <c r="F11" s="3"/>
      <c r="G11" s="3" t="s">
        <v>52</v>
      </c>
      <c r="H11" s="3" t="s">
        <v>58</v>
      </c>
      <c r="I11" s="3" t="s">
        <v>54</v>
      </c>
      <c r="J11" s="3" t="s">
        <v>49</v>
      </c>
      <c r="K11" s="4"/>
      <c r="L11" s="3"/>
      <c r="M11" s="4"/>
      <c r="N11" s="2">
        <v>5</v>
      </c>
      <c r="O11" s="5" t="s">
        <v>55</v>
      </c>
      <c r="P11" s="25">
        <v>33.549999999999997</v>
      </c>
      <c r="Q11" s="26">
        <f t="shared" si="0"/>
        <v>1056.8249999999998</v>
      </c>
      <c r="R11" s="27">
        <v>2</v>
      </c>
      <c r="S11" s="2"/>
      <c r="T11" s="2">
        <v>102</v>
      </c>
      <c r="U11" s="2"/>
      <c r="V11" s="10">
        <v>71542</v>
      </c>
      <c r="W11" s="10">
        <v>83411</v>
      </c>
      <c r="X11" s="10">
        <v>49</v>
      </c>
      <c r="Y11" s="10">
        <v>57</v>
      </c>
      <c r="Z11" s="2">
        <f t="shared" ref="Z11:AC11" si="13">_xlfn.RANK.EQ(V11,V$4:V$200)</f>
        <v>58</v>
      </c>
      <c r="AA11" s="2">
        <f t="shared" si="13"/>
        <v>61</v>
      </c>
      <c r="AB11" s="2">
        <f t="shared" si="13"/>
        <v>61</v>
      </c>
      <c r="AC11" s="2">
        <f t="shared" si="13"/>
        <v>65</v>
      </c>
      <c r="AD11" s="10">
        <f t="shared" si="2"/>
        <v>53</v>
      </c>
      <c r="AE11" s="2">
        <v>259</v>
      </c>
      <c r="AF11" s="10">
        <f t="shared" si="3"/>
        <v>57</v>
      </c>
      <c r="AG11" s="2"/>
      <c r="AH11" s="2"/>
      <c r="AI11" s="41">
        <f t="shared" si="4"/>
        <v>187.5</v>
      </c>
      <c r="AJ11" s="10">
        <f t="shared" si="5"/>
        <v>0</v>
      </c>
      <c r="AK11" s="10">
        <f t="shared" si="6"/>
        <v>0</v>
      </c>
    </row>
    <row r="12" spans="1:37">
      <c r="A12" s="3">
        <v>10421</v>
      </c>
      <c r="B12" s="2" t="s">
        <v>67</v>
      </c>
      <c r="C12" s="3" t="s">
        <v>46</v>
      </c>
      <c r="D12" s="3" t="s">
        <v>46</v>
      </c>
      <c r="E12" s="3" t="s">
        <v>46</v>
      </c>
      <c r="F12" s="3"/>
      <c r="G12" s="3" t="s">
        <v>52</v>
      </c>
      <c r="H12" s="3" t="s">
        <v>58</v>
      </c>
      <c r="I12" s="3" t="s">
        <v>54</v>
      </c>
      <c r="J12" s="3" t="s">
        <v>49</v>
      </c>
      <c r="K12" s="4"/>
      <c r="L12" s="3"/>
      <c r="M12" s="4"/>
      <c r="N12" s="2">
        <v>5</v>
      </c>
      <c r="O12" s="5" t="s">
        <v>55</v>
      </c>
      <c r="P12" s="25">
        <v>19.8</v>
      </c>
      <c r="Q12" s="26">
        <f t="shared" si="0"/>
        <v>623.70000000000005</v>
      </c>
      <c r="R12" s="27">
        <v>2</v>
      </c>
      <c r="S12" s="2"/>
      <c r="T12" s="2">
        <v>102</v>
      </c>
      <c r="U12" s="2"/>
      <c r="V12" s="10">
        <v>105650</v>
      </c>
      <c r="W12" s="10">
        <v>116949</v>
      </c>
      <c r="X12" s="10">
        <v>123</v>
      </c>
      <c r="Y12" s="10">
        <v>136</v>
      </c>
      <c r="Z12" s="2">
        <f t="shared" ref="Z12:AC12" si="14">_xlfn.RANK.EQ(V12,V$4:V$200)</f>
        <v>38</v>
      </c>
      <c r="AA12" s="2">
        <f t="shared" si="14"/>
        <v>42</v>
      </c>
      <c r="AB12" s="2">
        <f t="shared" si="14"/>
        <v>19</v>
      </c>
      <c r="AC12" s="2">
        <f t="shared" si="14"/>
        <v>22</v>
      </c>
      <c r="AD12" s="10">
        <f t="shared" si="2"/>
        <v>129.5</v>
      </c>
      <c r="AE12" s="2">
        <v>929</v>
      </c>
      <c r="AF12" s="10">
        <f t="shared" si="3"/>
        <v>136</v>
      </c>
      <c r="AG12" s="2"/>
      <c r="AH12" s="2"/>
      <c r="AI12" s="41">
        <f t="shared" si="4"/>
        <v>306</v>
      </c>
      <c r="AJ12" s="10">
        <f t="shared" si="5"/>
        <v>0</v>
      </c>
      <c r="AK12" s="10">
        <f t="shared" si="6"/>
        <v>0</v>
      </c>
    </row>
    <row r="13" spans="1:37">
      <c r="A13" s="3">
        <v>10023</v>
      </c>
      <c r="B13" s="2" t="s">
        <v>68</v>
      </c>
      <c r="C13" s="3" t="s">
        <v>46</v>
      </c>
      <c r="D13" s="3" t="s">
        <v>46</v>
      </c>
      <c r="E13" s="3" t="s">
        <v>60</v>
      </c>
      <c r="F13" s="3" t="s">
        <v>61</v>
      </c>
      <c r="G13" s="3" t="s">
        <v>52</v>
      </c>
      <c r="H13" s="3" t="s">
        <v>69</v>
      </c>
      <c r="I13" s="3" t="s">
        <v>54</v>
      </c>
      <c r="J13" s="3" t="s">
        <v>49</v>
      </c>
      <c r="K13" s="4"/>
      <c r="L13" s="3" t="s">
        <v>55</v>
      </c>
      <c r="M13" s="4">
        <v>7000</v>
      </c>
      <c r="N13" s="2">
        <v>5</v>
      </c>
      <c r="O13" s="5" t="s">
        <v>55</v>
      </c>
      <c r="P13" s="25">
        <v>63.96</v>
      </c>
      <c r="Q13" s="26">
        <f t="shared" si="0"/>
        <v>2014.74</v>
      </c>
      <c r="R13" s="27">
        <v>2</v>
      </c>
      <c r="S13" s="2"/>
      <c r="T13" s="2">
        <v>51</v>
      </c>
      <c r="U13" s="2"/>
      <c r="V13" s="10">
        <v>20216</v>
      </c>
      <c r="W13" s="10">
        <v>37256</v>
      </c>
      <c r="X13" s="10">
        <v>7</v>
      </c>
      <c r="Y13" s="10">
        <v>13</v>
      </c>
      <c r="Z13" s="2">
        <f t="shared" ref="Z13:AC13" si="15">_xlfn.RANK.EQ(V13,V$4:V$200)</f>
        <v>141</v>
      </c>
      <c r="AA13" s="2">
        <f t="shared" si="15"/>
        <v>127</v>
      </c>
      <c r="AB13" s="2">
        <f t="shared" si="15"/>
        <v>157</v>
      </c>
      <c r="AC13" s="2">
        <f t="shared" si="15"/>
        <v>157</v>
      </c>
      <c r="AD13" s="10">
        <f t="shared" si="2"/>
        <v>10</v>
      </c>
      <c r="AE13" s="2">
        <v>260</v>
      </c>
      <c r="AF13" s="10">
        <f t="shared" si="3"/>
        <v>13</v>
      </c>
      <c r="AG13" s="2"/>
      <c r="AH13" s="2"/>
      <c r="AI13" s="41">
        <f t="shared" si="4"/>
        <v>70.5</v>
      </c>
      <c r="AJ13" s="10">
        <f t="shared" si="5"/>
        <v>0</v>
      </c>
      <c r="AK13" s="10">
        <f t="shared" si="6"/>
        <v>0</v>
      </c>
    </row>
    <row r="14" spans="1:37">
      <c r="A14" s="3">
        <v>10028</v>
      </c>
      <c r="B14" s="2" t="s">
        <v>70</v>
      </c>
      <c r="C14" s="3" t="s">
        <v>46</v>
      </c>
      <c r="D14" s="3" t="s">
        <v>46</v>
      </c>
      <c r="E14" s="3" t="s">
        <v>46</v>
      </c>
      <c r="F14" s="3"/>
      <c r="G14" s="3" t="s">
        <v>52</v>
      </c>
      <c r="H14" s="3" t="s">
        <v>69</v>
      </c>
      <c r="I14" s="3" t="s">
        <v>54</v>
      </c>
      <c r="J14" s="3" t="s">
        <v>49</v>
      </c>
      <c r="K14" s="4"/>
      <c r="L14" s="3" t="s">
        <v>55</v>
      </c>
      <c r="M14" s="4">
        <v>7000</v>
      </c>
      <c r="N14" s="2">
        <v>5</v>
      </c>
      <c r="O14" s="5" t="s">
        <v>55</v>
      </c>
      <c r="P14" s="25">
        <v>29.07</v>
      </c>
      <c r="Q14" s="26">
        <f t="shared" si="0"/>
        <v>915.70500000000004</v>
      </c>
      <c r="R14" s="27">
        <v>2</v>
      </c>
      <c r="S14" s="2"/>
      <c r="T14" s="2">
        <v>51</v>
      </c>
      <c r="U14" s="2"/>
      <c r="V14" s="10">
        <v>60951</v>
      </c>
      <c r="W14" s="10">
        <v>60341</v>
      </c>
      <c r="X14" s="10">
        <v>46</v>
      </c>
      <c r="Y14" s="10">
        <v>46</v>
      </c>
      <c r="Z14" s="2">
        <f t="shared" ref="Z14:AC14" si="16">_xlfn.RANK.EQ(V14,V$4:V$200)</f>
        <v>73</v>
      </c>
      <c r="AA14" s="2">
        <f t="shared" si="16"/>
        <v>92</v>
      </c>
      <c r="AB14" s="2">
        <f t="shared" si="16"/>
        <v>65</v>
      </c>
      <c r="AC14" s="2">
        <f t="shared" si="16"/>
        <v>81</v>
      </c>
      <c r="AD14" s="10">
        <f t="shared" si="2"/>
        <v>46</v>
      </c>
      <c r="AE14" s="2">
        <v>221</v>
      </c>
      <c r="AF14" s="10">
        <f t="shared" si="3"/>
        <v>46</v>
      </c>
      <c r="AG14" s="2">
        <v>73</v>
      </c>
      <c r="AH14" s="2"/>
      <c r="AI14" s="41">
        <f t="shared" si="4"/>
        <v>120</v>
      </c>
      <c r="AJ14" s="10">
        <f t="shared" si="5"/>
        <v>0</v>
      </c>
      <c r="AK14" s="10">
        <f t="shared" si="6"/>
        <v>0</v>
      </c>
    </row>
    <row r="15" spans="1:37">
      <c r="A15" s="3">
        <v>10134</v>
      </c>
      <c r="B15" s="2" t="s">
        <v>71</v>
      </c>
      <c r="C15" s="3" t="s">
        <v>46</v>
      </c>
      <c r="D15" s="3" t="s">
        <v>46</v>
      </c>
      <c r="E15" s="3" t="s">
        <v>46</v>
      </c>
      <c r="F15" s="3"/>
      <c r="G15" s="3" t="s">
        <v>52</v>
      </c>
      <c r="H15" s="3" t="s">
        <v>69</v>
      </c>
      <c r="I15" s="3" t="s">
        <v>54</v>
      </c>
      <c r="J15" s="3" t="s">
        <v>49</v>
      </c>
      <c r="K15" s="4"/>
      <c r="L15" s="3" t="s">
        <v>55</v>
      </c>
      <c r="M15" s="4">
        <v>7000</v>
      </c>
      <c r="N15" s="2">
        <v>5</v>
      </c>
      <c r="O15" s="5" t="s">
        <v>55</v>
      </c>
      <c r="P15" s="25">
        <v>54.1</v>
      </c>
      <c r="Q15" s="26">
        <f t="shared" si="0"/>
        <v>1704.15</v>
      </c>
      <c r="R15" s="27">
        <v>2</v>
      </c>
      <c r="S15" s="2"/>
      <c r="T15" s="2">
        <v>102</v>
      </c>
      <c r="U15" s="2"/>
      <c r="V15" s="10">
        <v>115062</v>
      </c>
      <c r="W15" s="10">
        <v>119942</v>
      </c>
      <c r="X15" s="10">
        <v>47</v>
      </c>
      <c r="Y15" s="10">
        <v>49</v>
      </c>
      <c r="Z15" s="2">
        <f t="shared" ref="Z15:AC15" si="17">_xlfn.RANK.EQ(V15,V$4:V$200)</f>
        <v>30</v>
      </c>
      <c r="AA15" s="2">
        <f t="shared" si="17"/>
        <v>40</v>
      </c>
      <c r="AB15" s="2">
        <f t="shared" si="17"/>
        <v>62</v>
      </c>
      <c r="AC15" s="2">
        <f t="shared" si="17"/>
        <v>75</v>
      </c>
      <c r="AD15" s="10">
        <f t="shared" si="2"/>
        <v>48</v>
      </c>
      <c r="AE15" s="2">
        <v>264</v>
      </c>
      <c r="AF15" s="10">
        <f t="shared" si="3"/>
        <v>49</v>
      </c>
      <c r="AG15" s="2"/>
      <c r="AH15" s="2"/>
      <c r="AI15" s="41">
        <f t="shared" si="4"/>
        <v>175.5</v>
      </c>
      <c r="AJ15" s="10">
        <f t="shared" si="5"/>
        <v>0</v>
      </c>
      <c r="AK15" s="10">
        <f t="shared" si="6"/>
        <v>0</v>
      </c>
    </row>
    <row r="16" spans="1:37">
      <c r="A16" s="3">
        <v>10068</v>
      </c>
      <c r="B16" s="2" t="s">
        <v>72</v>
      </c>
      <c r="C16" s="3" t="s">
        <v>46</v>
      </c>
      <c r="D16" s="3" t="s">
        <v>46</v>
      </c>
      <c r="E16" s="3" t="s">
        <v>46</v>
      </c>
      <c r="F16" s="3"/>
      <c r="G16" s="3" t="s">
        <v>52</v>
      </c>
      <c r="H16" s="3" t="s">
        <v>53</v>
      </c>
      <c r="I16" s="3" t="s">
        <v>54</v>
      </c>
      <c r="J16" s="3" t="s">
        <v>49</v>
      </c>
      <c r="K16" s="4"/>
      <c r="L16" s="3"/>
      <c r="M16" s="4"/>
      <c r="N16" s="2">
        <v>5</v>
      </c>
      <c r="O16" s="5" t="s">
        <v>55</v>
      </c>
      <c r="P16" s="25">
        <v>44.08</v>
      </c>
      <c r="Q16" s="26">
        <f t="shared" si="0"/>
        <v>1388.52</v>
      </c>
      <c r="R16" s="27">
        <v>2</v>
      </c>
      <c r="S16" s="2"/>
      <c r="T16" s="2">
        <v>51</v>
      </c>
      <c r="U16" s="2"/>
      <c r="V16" s="10">
        <v>36474</v>
      </c>
      <c r="W16" s="10">
        <v>34917</v>
      </c>
      <c r="X16" s="10">
        <v>20</v>
      </c>
      <c r="Y16" s="10">
        <v>19</v>
      </c>
      <c r="Z16" s="2">
        <f t="shared" ref="Z16:AC16" si="18">_xlfn.RANK.EQ(V16,V$4:V$200)</f>
        <v>110</v>
      </c>
      <c r="AA16" s="2">
        <f t="shared" si="18"/>
        <v>129</v>
      </c>
      <c r="AB16" s="2">
        <f t="shared" si="18"/>
        <v>115</v>
      </c>
      <c r="AC16" s="2">
        <f t="shared" si="18"/>
        <v>135</v>
      </c>
      <c r="AD16" s="10">
        <f t="shared" si="2"/>
        <v>19.5</v>
      </c>
      <c r="AE16" s="2">
        <v>92</v>
      </c>
      <c r="AF16" s="10">
        <f t="shared" si="3"/>
        <v>19</v>
      </c>
      <c r="AG16" s="2"/>
      <c r="AH16" s="2"/>
      <c r="AI16" s="41">
        <f t="shared" si="4"/>
        <v>80.25</v>
      </c>
      <c r="AJ16" s="10">
        <f t="shared" si="5"/>
        <v>10</v>
      </c>
      <c r="AK16" s="10">
        <f t="shared" si="6"/>
        <v>13885.2</v>
      </c>
    </row>
    <row r="17" spans="1:37">
      <c r="A17" s="3">
        <v>10127</v>
      </c>
      <c r="B17" s="2" t="s">
        <v>73</v>
      </c>
      <c r="C17" s="3" t="s">
        <v>46</v>
      </c>
      <c r="D17" s="3" t="s">
        <v>46</v>
      </c>
      <c r="E17" s="3" t="s">
        <v>46</v>
      </c>
      <c r="F17" s="3"/>
      <c r="G17" s="3" t="s">
        <v>52</v>
      </c>
      <c r="H17" s="3" t="s">
        <v>53</v>
      </c>
      <c r="I17" s="3" t="s">
        <v>54</v>
      </c>
      <c r="J17" s="3" t="s">
        <v>49</v>
      </c>
      <c r="K17" s="4"/>
      <c r="L17" s="3"/>
      <c r="M17" s="4"/>
      <c r="N17" s="2">
        <v>5</v>
      </c>
      <c r="O17" s="5" t="s">
        <v>55</v>
      </c>
      <c r="P17" s="25">
        <v>17.11</v>
      </c>
      <c r="Q17" s="26">
        <f t="shared" si="0"/>
        <v>538.96500000000003</v>
      </c>
      <c r="R17" s="27">
        <v>2</v>
      </c>
      <c r="S17" s="2"/>
      <c r="T17" s="2">
        <v>51</v>
      </c>
      <c r="U17" s="2"/>
      <c r="V17" s="10">
        <v>32442</v>
      </c>
      <c r="W17" s="10">
        <v>38296</v>
      </c>
      <c r="X17" s="10">
        <v>45</v>
      </c>
      <c r="Y17" s="10">
        <v>53</v>
      </c>
      <c r="Z17" s="2">
        <f t="shared" ref="Z17:AC17" si="19">_xlfn.RANK.EQ(V17,V$4:V$200)</f>
        <v>116</v>
      </c>
      <c r="AA17" s="2">
        <f t="shared" si="19"/>
        <v>126</v>
      </c>
      <c r="AB17" s="2">
        <f t="shared" si="19"/>
        <v>68</v>
      </c>
      <c r="AC17" s="2">
        <f t="shared" si="19"/>
        <v>68</v>
      </c>
      <c r="AD17" s="10">
        <f t="shared" si="2"/>
        <v>49</v>
      </c>
      <c r="AE17" s="2">
        <v>129</v>
      </c>
      <c r="AF17" s="10">
        <f t="shared" si="3"/>
        <v>53</v>
      </c>
      <c r="AG17" s="2"/>
      <c r="AH17" s="2"/>
      <c r="AI17" s="41">
        <f t="shared" si="4"/>
        <v>130.5</v>
      </c>
      <c r="AJ17" s="10">
        <f t="shared" si="5"/>
        <v>55</v>
      </c>
      <c r="AK17" s="10">
        <f t="shared" si="6"/>
        <v>29643.075000000001</v>
      </c>
    </row>
    <row r="18" spans="1:37">
      <c r="A18" s="3">
        <v>10102</v>
      </c>
      <c r="B18" s="2" t="s">
        <v>74</v>
      </c>
      <c r="C18" s="3" t="s">
        <v>46</v>
      </c>
      <c r="D18" s="3" t="s">
        <v>46</v>
      </c>
      <c r="E18" s="3" t="s">
        <v>46</v>
      </c>
      <c r="F18" s="3"/>
      <c r="G18" s="3" t="s">
        <v>75</v>
      </c>
      <c r="H18" s="3"/>
      <c r="I18" s="3" t="s">
        <v>48</v>
      </c>
      <c r="J18" s="3" t="s">
        <v>49</v>
      </c>
      <c r="K18" s="4"/>
      <c r="L18" s="3" t="s">
        <v>55</v>
      </c>
      <c r="M18" s="4">
        <v>3000</v>
      </c>
      <c r="N18" s="2">
        <v>5</v>
      </c>
      <c r="O18" s="5" t="s">
        <v>55</v>
      </c>
      <c r="P18" s="25">
        <v>33.369999999999997</v>
      </c>
      <c r="Q18" s="26">
        <f t="shared" si="0"/>
        <v>1051.155</v>
      </c>
      <c r="R18" s="27">
        <v>1.5</v>
      </c>
      <c r="S18" s="2"/>
      <c r="T18" s="2">
        <v>51</v>
      </c>
      <c r="U18" s="2"/>
      <c r="V18" s="10">
        <v>39846</v>
      </c>
      <c r="W18" s="10">
        <v>19301</v>
      </c>
      <c r="X18" s="10">
        <v>23</v>
      </c>
      <c r="Y18" s="10">
        <v>11</v>
      </c>
      <c r="Z18" s="2">
        <f t="shared" ref="Z18:AC18" si="20">_xlfn.RANK.EQ(V18,V$4:V$200)</f>
        <v>107</v>
      </c>
      <c r="AA18" s="2">
        <f t="shared" si="20"/>
        <v>163</v>
      </c>
      <c r="AB18" s="2">
        <f t="shared" si="20"/>
        <v>111</v>
      </c>
      <c r="AC18" s="2">
        <f t="shared" si="20"/>
        <v>166</v>
      </c>
      <c r="AD18" s="10">
        <f t="shared" si="2"/>
        <v>17</v>
      </c>
      <c r="AE18" s="2">
        <v>63</v>
      </c>
      <c r="AF18" s="10">
        <f t="shared" si="3"/>
        <v>11</v>
      </c>
      <c r="AG18" s="2"/>
      <c r="AH18" s="2">
        <v>90</v>
      </c>
      <c r="AI18" s="41">
        <f t="shared" si="4"/>
        <v>76.5</v>
      </c>
      <c r="AJ18" s="10">
        <f t="shared" si="5"/>
        <v>0</v>
      </c>
      <c r="AK18" s="10">
        <f t="shared" si="6"/>
        <v>0</v>
      </c>
    </row>
    <row r="19" spans="1:37">
      <c r="A19" s="3">
        <v>10103</v>
      </c>
      <c r="B19" s="2" t="s">
        <v>76</v>
      </c>
      <c r="C19" s="3" t="s">
        <v>46</v>
      </c>
      <c r="D19" s="3" t="s">
        <v>46</v>
      </c>
      <c r="E19" s="3" t="s">
        <v>60</v>
      </c>
      <c r="F19" s="3" t="s">
        <v>61</v>
      </c>
      <c r="G19" s="3" t="s">
        <v>75</v>
      </c>
      <c r="H19" s="3"/>
      <c r="I19" s="3" t="s">
        <v>48</v>
      </c>
      <c r="J19" s="3" t="s">
        <v>49</v>
      </c>
      <c r="K19" s="4"/>
      <c r="L19" s="3" t="s">
        <v>55</v>
      </c>
      <c r="M19" s="4">
        <v>3000</v>
      </c>
      <c r="N19" s="2">
        <v>5</v>
      </c>
      <c r="O19" s="5" t="s">
        <v>55</v>
      </c>
      <c r="P19" s="25">
        <v>33.369999999999997</v>
      </c>
      <c r="Q19" s="26">
        <f t="shared" si="0"/>
        <v>1051.155</v>
      </c>
      <c r="R19" s="27">
        <v>1.5</v>
      </c>
      <c r="S19" s="2"/>
      <c r="T19" s="2">
        <v>51</v>
      </c>
      <c r="U19" s="2"/>
      <c r="V19" s="10">
        <v>10266</v>
      </c>
      <c r="W19" s="10">
        <v>22533</v>
      </c>
      <c r="X19" s="10">
        <v>6</v>
      </c>
      <c r="Y19" s="10">
        <v>13</v>
      </c>
      <c r="Z19" s="2">
        <f t="shared" ref="Z19:AC19" si="21">_xlfn.RANK.EQ(V19,V$4:V$200)</f>
        <v>158</v>
      </c>
      <c r="AA19" s="2">
        <f t="shared" si="21"/>
        <v>159</v>
      </c>
      <c r="AB19" s="2">
        <f t="shared" si="21"/>
        <v>161</v>
      </c>
      <c r="AC19" s="2">
        <f t="shared" si="21"/>
        <v>157</v>
      </c>
      <c r="AD19" s="10">
        <f t="shared" si="2"/>
        <v>9.5</v>
      </c>
      <c r="AE19" s="2">
        <v>112</v>
      </c>
      <c r="AF19" s="10">
        <f t="shared" si="3"/>
        <v>13</v>
      </c>
      <c r="AG19" s="2"/>
      <c r="AH19" s="2"/>
      <c r="AI19" s="41">
        <f t="shared" si="4"/>
        <v>70.5</v>
      </c>
      <c r="AJ19" s="10">
        <f t="shared" si="5"/>
        <v>0</v>
      </c>
      <c r="AK19" s="10">
        <f t="shared" si="6"/>
        <v>0</v>
      </c>
    </row>
    <row r="20" spans="1:37">
      <c r="A20" s="3">
        <v>10278</v>
      </c>
      <c r="B20" s="2" t="s">
        <v>77</v>
      </c>
      <c r="C20" s="3" t="s">
        <v>46</v>
      </c>
      <c r="D20" s="3" t="s">
        <v>46</v>
      </c>
      <c r="E20" s="3" t="s">
        <v>46</v>
      </c>
      <c r="F20" s="3"/>
      <c r="G20" s="3" t="s">
        <v>52</v>
      </c>
      <c r="H20" s="3" t="s">
        <v>58</v>
      </c>
      <c r="I20" s="3" t="s">
        <v>54</v>
      </c>
      <c r="J20" s="3" t="s">
        <v>49</v>
      </c>
      <c r="K20" s="4"/>
      <c r="L20" s="3"/>
      <c r="M20" s="4"/>
      <c r="N20" s="2">
        <v>5</v>
      </c>
      <c r="O20" s="5" t="s">
        <v>55</v>
      </c>
      <c r="P20" s="25">
        <v>91.85</v>
      </c>
      <c r="Q20" s="26">
        <f t="shared" si="0"/>
        <v>2893.2749999999996</v>
      </c>
      <c r="R20" s="27">
        <v>2</v>
      </c>
      <c r="S20" s="2"/>
      <c r="T20" s="2">
        <v>102</v>
      </c>
      <c r="U20" s="2"/>
      <c r="V20" s="10">
        <v>155100</v>
      </c>
      <c r="W20" s="10">
        <v>232057</v>
      </c>
      <c r="X20" s="10">
        <v>39</v>
      </c>
      <c r="Y20" s="10">
        <v>58</v>
      </c>
      <c r="Z20" s="2">
        <f t="shared" ref="Z20:AC20" si="22">_xlfn.RANK.EQ(V20,V$4:V$200)</f>
        <v>14</v>
      </c>
      <c r="AA20" s="2">
        <f t="shared" si="22"/>
        <v>10</v>
      </c>
      <c r="AB20" s="2">
        <f t="shared" si="22"/>
        <v>78</v>
      </c>
      <c r="AC20" s="2">
        <f t="shared" si="22"/>
        <v>62</v>
      </c>
      <c r="AD20" s="10">
        <f t="shared" si="2"/>
        <v>48.5</v>
      </c>
      <c r="AE20" s="2">
        <v>546</v>
      </c>
      <c r="AF20" s="10">
        <f t="shared" si="3"/>
        <v>58</v>
      </c>
      <c r="AG20" s="2"/>
      <c r="AH20" s="2"/>
      <c r="AI20" s="41">
        <f t="shared" si="4"/>
        <v>189</v>
      </c>
      <c r="AJ20" s="10">
        <f t="shared" si="5"/>
        <v>0</v>
      </c>
      <c r="AK20" s="10">
        <f t="shared" si="6"/>
        <v>0</v>
      </c>
    </row>
    <row r="21" spans="1:37">
      <c r="A21" s="3">
        <v>10276</v>
      </c>
      <c r="B21" s="2" t="s">
        <v>78</v>
      </c>
      <c r="C21" s="3" t="s">
        <v>46</v>
      </c>
      <c r="D21" s="3" t="s">
        <v>46</v>
      </c>
      <c r="E21" s="3" t="s">
        <v>46</v>
      </c>
      <c r="F21" s="3"/>
      <c r="G21" s="3" t="s">
        <v>52</v>
      </c>
      <c r="H21" s="3" t="s">
        <v>58</v>
      </c>
      <c r="I21" s="3" t="s">
        <v>54</v>
      </c>
      <c r="J21" s="3" t="s">
        <v>49</v>
      </c>
      <c r="K21" s="4"/>
      <c r="L21" s="3"/>
      <c r="M21" s="4"/>
      <c r="N21" s="2">
        <v>5</v>
      </c>
      <c r="O21" s="5" t="s">
        <v>55</v>
      </c>
      <c r="P21" s="25">
        <v>42.35</v>
      </c>
      <c r="Q21" s="26">
        <f t="shared" si="0"/>
        <v>1334.0250000000001</v>
      </c>
      <c r="R21" s="27">
        <v>2</v>
      </c>
      <c r="S21" s="2"/>
      <c r="T21" s="2">
        <v>102</v>
      </c>
      <c r="U21" s="2"/>
      <c r="V21" s="10">
        <v>105922</v>
      </c>
      <c r="W21" s="10">
        <v>127348</v>
      </c>
      <c r="X21" s="10">
        <v>55</v>
      </c>
      <c r="Y21" s="10">
        <v>66</v>
      </c>
      <c r="Z21" s="2">
        <f t="shared" ref="Z21:AC21" si="23">_xlfn.RANK.EQ(V21,V$4:V$200)</f>
        <v>37</v>
      </c>
      <c r="AA21" s="2">
        <f t="shared" si="23"/>
        <v>36</v>
      </c>
      <c r="AB21" s="2">
        <f t="shared" si="23"/>
        <v>55</v>
      </c>
      <c r="AC21" s="2">
        <f t="shared" si="23"/>
        <v>50</v>
      </c>
      <c r="AD21" s="10">
        <f t="shared" si="2"/>
        <v>60.5</v>
      </c>
      <c r="AE21" s="2">
        <v>438</v>
      </c>
      <c r="AF21" s="10">
        <f t="shared" si="3"/>
        <v>66</v>
      </c>
      <c r="AG21" s="2"/>
      <c r="AH21" s="2"/>
      <c r="AI21" s="41">
        <f t="shared" si="4"/>
        <v>201</v>
      </c>
      <c r="AJ21" s="10">
        <f t="shared" si="5"/>
        <v>0</v>
      </c>
      <c r="AK21" s="10">
        <f t="shared" si="6"/>
        <v>0</v>
      </c>
    </row>
    <row r="22" spans="1:37">
      <c r="A22" s="3">
        <v>10277</v>
      </c>
      <c r="B22" s="2" t="s">
        <v>79</v>
      </c>
      <c r="C22" s="3" t="s">
        <v>46</v>
      </c>
      <c r="D22" s="3" t="s">
        <v>46</v>
      </c>
      <c r="E22" s="3" t="s">
        <v>46</v>
      </c>
      <c r="F22" s="3" t="s">
        <v>61</v>
      </c>
      <c r="G22" s="3" t="s">
        <v>52</v>
      </c>
      <c r="H22" s="3" t="s">
        <v>58</v>
      </c>
      <c r="I22" s="3" t="s">
        <v>54</v>
      </c>
      <c r="J22" s="3" t="s">
        <v>49</v>
      </c>
      <c r="K22" s="4"/>
      <c r="L22" s="3"/>
      <c r="M22" s="4"/>
      <c r="N22" s="2">
        <v>5</v>
      </c>
      <c r="O22" s="5" t="s">
        <v>55</v>
      </c>
      <c r="P22" s="25">
        <v>33.549999999999997</v>
      </c>
      <c r="Q22" s="26">
        <f t="shared" si="0"/>
        <v>1056.8249999999998</v>
      </c>
      <c r="R22" s="27">
        <v>2</v>
      </c>
      <c r="S22" s="2"/>
      <c r="T22" s="2">
        <v>51</v>
      </c>
      <c r="U22" s="2"/>
      <c r="V22" s="10">
        <v>29312</v>
      </c>
      <c r="W22" s="10">
        <v>33756</v>
      </c>
      <c r="X22" s="10">
        <v>19</v>
      </c>
      <c r="Y22" s="10">
        <v>22</v>
      </c>
      <c r="Z22" s="2">
        <f t="shared" ref="Z22:AC22" si="24">_xlfn.RANK.EQ(V22,V$4:V$200)</f>
        <v>123</v>
      </c>
      <c r="AA22" s="2">
        <f t="shared" si="24"/>
        <v>132</v>
      </c>
      <c r="AB22" s="2">
        <f t="shared" si="24"/>
        <v>118</v>
      </c>
      <c r="AC22" s="2">
        <f t="shared" si="24"/>
        <v>124</v>
      </c>
      <c r="AD22" s="10">
        <f t="shared" si="2"/>
        <v>20.5</v>
      </c>
      <c r="AE22" s="2">
        <v>262</v>
      </c>
      <c r="AF22" s="10">
        <f t="shared" si="3"/>
        <v>22</v>
      </c>
      <c r="AG22" s="2"/>
      <c r="AH22" s="2"/>
      <c r="AI22" s="41">
        <f t="shared" si="4"/>
        <v>84</v>
      </c>
      <c r="AJ22" s="10">
        <f t="shared" si="5"/>
        <v>0</v>
      </c>
      <c r="AK22" s="10">
        <f t="shared" si="6"/>
        <v>0</v>
      </c>
    </row>
    <row r="23" spans="1:37">
      <c r="A23" s="3">
        <v>10106</v>
      </c>
      <c r="B23" s="2" t="s">
        <v>80</v>
      </c>
      <c r="C23" s="3" t="s">
        <v>46</v>
      </c>
      <c r="D23" s="3" t="s">
        <v>46</v>
      </c>
      <c r="E23" s="3" t="s">
        <v>46</v>
      </c>
      <c r="F23" s="3"/>
      <c r="G23" s="3" t="s">
        <v>52</v>
      </c>
      <c r="H23" s="3"/>
      <c r="I23" s="3" t="s">
        <v>54</v>
      </c>
      <c r="J23" s="3" t="s">
        <v>49</v>
      </c>
      <c r="K23" s="4"/>
      <c r="L23" s="3" t="s">
        <v>55</v>
      </c>
      <c r="M23" s="4">
        <v>5000</v>
      </c>
      <c r="N23" s="2">
        <v>5</v>
      </c>
      <c r="O23" s="5" t="s">
        <v>55</v>
      </c>
      <c r="P23" s="25">
        <v>42.54</v>
      </c>
      <c r="Q23" s="26">
        <f t="shared" si="0"/>
        <v>1340.01</v>
      </c>
      <c r="R23" s="27">
        <v>2</v>
      </c>
      <c r="S23" s="2"/>
      <c r="T23" s="2">
        <v>51</v>
      </c>
      <c r="U23" s="2"/>
      <c r="V23" s="10">
        <v>53682</v>
      </c>
      <c r="W23" s="10">
        <v>49532</v>
      </c>
      <c r="X23" s="10">
        <v>25</v>
      </c>
      <c r="Y23" s="10">
        <v>23</v>
      </c>
      <c r="Z23" s="2">
        <f t="shared" ref="Z23:AC23" si="25">_xlfn.RANK.EQ(V23,V$4:V$200)</f>
        <v>86</v>
      </c>
      <c r="AA23" s="2">
        <f t="shared" si="25"/>
        <v>105</v>
      </c>
      <c r="AB23" s="2">
        <f t="shared" si="25"/>
        <v>106</v>
      </c>
      <c r="AC23" s="2">
        <f t="shared" si="25"/>
        <v>122</v>
      </c>
      <c r="AD23" s="10">
        <f t="shared" si="2"/>
        <v>24</v>
      </c>
      <c r="AE23" s="2">
        <v>109</v>
      </c>
      <c r="AF23" s="10">
        <f t="shared" si="3"/>
        <v>23</v>
      </c>
      <c r="AG23" s="2"/>
      <c r="AH23" s="2"/>
      <c r="AI23" s="41">
        <f t="shared" si="4"/>
        <v>87</v>
      </c>
      <c r="AJ23" s="10">
        <f t="shared" si="5"/>
        <v>5</v>
      </c>
      <c r="AK23" s="10">
        <f t="shared" si="6"/>
        <v>6700.05</v>
      </c>
    </row>
    <row r="24" spans="1:37">
      <c r="A24" s="3">
        <v>10105</v>
      </c>
      <c r="B24" s="2" t="s">
        <v>81</v>
      </c>
      <c r="C24" s="3" t="s">
        <v>46</v>
      </c>
      <c r="D24" s="3" t="s">
        <v>46</v>
      </c>
      <c r="E24" s="3" t="s">
        <v>60</v>
      </c>
      <c r="F24" s="3" t="s">
        <v>61</v>
      </c>
      <c r="G24" s="3" t="s">
        <v>52</v>
      </c>
      <c r="H24" s="3"/>
      <c r="I24" s="3" t="s">
        <v>54</v>
      </c>
      <c r="J24" s="3" t="s">
        <v>49</v>
      </c>
      <c r="K24" s="4"/>
      <c r="L24" s="3" t="s">
        <v>55</v>
      </c>
      <c r="M24" s="4">
        <v>5000</v>
      </c>
      <c r="N24" s="2">
        <v>5</v>
      </c>
      <c r="O24" s="5" t="s">
        <v>55</v>
      </c>
      <c r="P24" s="25">
        <v>56.15</v>
      </c>
      <c r="Q24" s="26">
        <f t="shared" si="0"/>
        <v>1768.7249999999999</v>
      </c>
      <c r="R24" s="27">
        <v>2</v>
      </c>
      <c r="S24" s="2"/>
      <c r="T24" s="2">
        <v>51</v>
      </c>
      <c r="U24" s="2"/>
      <c r="V24" s="10">
        <v>91958</v>
      </c>
      <c r="W24" s="10">
        <v>70239</v>
      </c>
      <c r="X24" s="10">
        <v>33</v>
      </c>
      <c r="Y24" s="10">
        <v>25</v>
      </c>
      <c r="Z24" s="2">
        <f t="shared" ref="Z24:AC24" si="26">_xlfn.RANK.EQ(V24,V$4:V$200)</f>
        <v>47</v>
      </c>
      <c r="AA24" s="2">
        <f t="shared" si="26"/>
        <v>79</v>
      </c>
      <c r="AB24" s="2">
        <f t="shared" si="26"/>
        <v>92</v>
      </c>
      <c r="AC24" s="2">
        <f t="shared" si="26"/>
        <v>116</v>
      </c>
      <c r="AD24" s="10">
        <f t="shared" si="2"/>
        <v>29</v>
      </c>
      <c r="AE24" s="2">
        <v>65</v>
      </c>
      <c r="AF24" s="10">
        <f t="shared" si="3"/>
        <v>25</v>
      </c>
      <c r="AG24" s="2"/>
      <c r="AH24" s="2"/>
      <c r="AI24" s="41">
        <f t="shared" si="4"/>
        <v>94.5</v>
      </c>
      <c r="AJ24" s="10">
        <f t="shared" si="5"/>
        <v>0</v>
      </c>
      <c r="AK24" s="10">
        <f t="shared" si="6"/>
        <v>0</v>
      </c>
    </row>
    <row r="25" spans="1:37">
      <c r="A25" s="3">
        <v>10274</v>
      </c>
      <c r="B25" s="2" t="s">
        <v>82</v>
      </c>
      <c r="C25" s="3" t="s">
        <v>46</v>
      </c>
      <c r="D25" s="3" t="s">
        <v>46</v>
      </c>
      <c r="E25" s="3" t="s">
        <v>46</v>
      </c>
      <c r="F25" s="3"/>
      <c r="G25" s="3" t="s">
        <v>75</v>
      </c>
      <c r="H25" s="3" t="s">
        <v>83</v>
      </c>
      <c r="I25" s="3" t="s">
        <v>48</v>
      </c>
      <c r="J25" s="3" t="s">
        <v>49</v>
      </c>
      <c r="K25" s="4"/>
      <c r="L25" s="3" t="s">
        <v>55</v>
      </c>
      <c r="M25" s="4">
        <v>6000</v>
      </c>
      <c r="N25" s="2">
        <v>5</v>
      </c>
      <c r="O25" s="5" t="s">
        <v>55</v>
      </c>
      <c r="P25" s="25">
        <v>30.5</v>
      </c>
      <c r="Q25" s="26">
        <f t="shared" si="0"/>
        <v>960.75</v>
      </c>
      <c r="R25" s="27">
        <v>1.5</v>
      </c>
      <c r="S25" s="2"/>
      <c r="T25" s="2">
        <v>153</v>
      </c>
      <c r="U25" s="2"/>
      <c r="V25" s="10">
        <v>64164</v>
      </c>
      <c r="W25" s="10">
        <v>55601</v>
      </c>
      <c r="X25" s="10">
        <v>44</v>
      </c>
      <c r="Y25" s="10">
        <v>38</v>
      </c>
      <c r="Z25" s="2">
        <f t="shared" ref="Z25:AC25" si="27">_xlfn.RANK.EQ(V25,V$4:V$200)</f>
        <v>65</v>
      </c>
      <c r="AA25" s="2">
        <f t="shared" si="27"/>
        <v>96</v>
      </c>
      <c r="AB25" s="2">
        <f t="shared" si="27"/>
        <v>70</v>
      </c>
      <c r="AC25" s="2">
        <f t="shared" si="27"/>
        <v>93</v>
      </c>
      <c r="AD25" s="10">
        <f t="shared" si="2"/>
        <v>41</v>
      </c>
      <c r="AE25" s="2">
        <v>288</v>
      </c>
      <c r="AF25" s="10">
        <f t="shared" si="3"/>
        <v>38</v>
      </c>
      <c r="AG25" s="2"/>
      <c r="AH25" s="2">
        <v>150</v>
      </c>
      <c r="AI25" s="41">
        <f t="shared" si="4"/>
        <v>214.5</v>
      </c>
      <c r="AJ25" s="10">
        <f t="shared" si="5"/>
        <v>0</v>
      </c>
      <c r="AK25" s="10">
        <f t="shared" si="6"/>
        <v>0</v>
      </c>
    </row>
    <row r="26" spans="1:37">
      <c r="A26" s="3">
        <v>10271</v>
      </c>
      <c r="B26" s="2" t="s">
        <v>84</v>
      </c>
      <c r="C26" s="3" t="s">
        <v>46</v>
      </c>
      <c r="D26" s="3" t="s">
        <v>46</v>
      </c>
      <c r="E26" s="3" t="s">
        <v>46</v>
      </c>
      <c r="F26" s="3"/>
      <c r="G26" s="3" t="s">
        <v>75</v>
      </c>
      <c r="H26" s="3" t="s">
        <v>83</v>
      </c>
      <c r="I26" s="3" t="s">
        <v>48</v>
      </c>
      <c r="J26" s="3" t="s">
        <v>49</v>
      </c>
      <c r="K26" s="4"/>
      <c r="L26" s="3" t="s">
        <v>55</v>
      </c>
      <c r="M26" s="4">
        <v>6000</v>
      </c>
      <c r="N26" s="2">
        <v>5</v>
      </c>
      <c r="O26" s="5" t="s">
        <v>55</v>
      </c>
      <c r="P26" s="25">
        <v>19</v>
      </c>
      <c r="Q26" s="26">
        <f t="shared" si="0"/>
        <v>598.5</v>
      </c>
      <c r="R26" s="27">
        <v>1.5</v>
      </c>
      <c r="S26" s="2"/>
      <c r="T26" s="2">
        <v>51</v>
      </c>
      <c r="U26" s="2"/>
      <c r="V26" s="10">
        <v>57500</v>
      </c>
      <c r="W26" s="10">
        <v>50124</v>
      </c>
      <c r="X26" s="10">
        <v>62</v>
      </c>
      <c r="Y26" s="10">
        <v>55</v>
      </c>
      <c r="Z26" s="2">
        <f t="shared" ref="Z26:AC26" si="28">_xlfn.RANK.EQ(V26,V$4:V$200)</f>
        <v>78</v>
      </c>
      <c r="AA26" s="2">
        <f t="shared" si="28"/>
        <v>104</v>
      </c>
      <c r="AB26" s="2">
        <f t="shared" si="28"/>
        <v>48</v>
      </c>
      <c r="AC26" s="2">
        <f t="shared" si="28"/>
        <v>66</v>
      </c>
      <c r="AD26" s="10">
        <f t="shared" si="2"/>
        <v>58.5</v>
      </c>
      <c r="AE26" s="2">
        <v>243</v>
      </c>
      <c r="AF26" s="10">
        <f t="shared" si="3"/>
        <v>55</v>
      </c>
      <c r="AG26" s="2"/>
      <c r="AH26" s="2"/>
      <c r="AI26" s="41">
        <f t="shared" si="4"/>
        <v>138.75</v>
      </c>
      <c r="AJ26" s="10">
        <f t="shared" si="5"/>
        <v>0</v>
      </c>
      <c r="AK26" s="10">
        <f t="shared" si="6"/>
        <v>0</v>
      </c>
    </row>
    <row r="27" spans="1:37">
      <c r="A27" s="3">
        <v>10272</v>
      </c>
      <c r="B27" s="2" t="s">
        <v>85</v>
      </c>
      <c r="C27" s="3" t="s">
        <v>46</v>
      </c>
      <c r="D27" s="3" t="s">
        <v>46</v>
      </c>
      <c r="E27" s="3" t="s">
        <v>46</v>
      </c>
      <c r="F27" s="3"/>
      <c r="G27" s="3" t="s">
        <v>75</v>
      </c>
      <c r="H27" s="3" t="s">
        <v>83</v>
      </c>
      <c r="I27" s="3" t="s">
        <v>48</v>
      </c>
      <c r="J27" s="3" t="s">
        <v>49</v>
      </c>
      <c r="K27" s="4"/>
      <c r="L27" s="3" t="s">
        <v>55</v>
      </c>
      <c r="M27" s="4">
        <v>6000</v>
      </c>
      <c r="N27" s="2">
        <v>5</v>
      </c>
      <c r="O27" s="5" t="s">
        <v>55</v>
      </c>
      <c r="P27" s="25">
        <v>29</v>
      </c>
      <c r="Q27" s="26">
        <f t="shared" si="0"/>
        <v>913.5</v>
      </c>
      <c r="R27" s="27">
        <v>1.5</v>
      </c>
      <c r="S27" s="2"/>
      <c r="T27" s="2">
        <v>153</v>
      </c>
      <c r="U27" s="2"/>
      <c r="V27" s="10">
        <v>137611</v>
      </c>
      <c r="W27" s="10">
        <v>124800</v>
      </c>
      <c r="X27" s="10">
        <v>99</v>
      </c>
      <c r="Y27" s="10">
        <v>89</v>
      </c>
      <c r="Z27" s="2">
        <f t="shared" ref="Z27:AC27" si="29">_xlfn.RANK.EQ(V27,V$4:V$200)</f>
        <v>19</v>
      </c>
      <c r="AA27" s="2">
        <f t="shared" si="29"/>
        <v>37</v>
      </c>
      <c r="AB27" s="2">
        <f t="shared" si="29"/>
        <v>27</v>
      </c>
      <c r="AC27" s="2">
        <f t="shared" si="29"/>
        <v>40</v>
      </c>
      <c r="AD27" s="10">
        <f t="shared" si="2"/>
        <v>94</v>
      </c>
      <c r="AE27" s="2">
        <v>255</v>
      </c>
      <c r="AF27" s="10">
        <f t="shared" si="3"/>
        <v>89</v>
      </c>
      <c r="AG27" s="2"/>
      <c r="AH27" s="2">
        <v>360</v>
      </c>
      <c r="AI27" s="41">
        <f t="shared" si="4"/>
        <v>294</v>
      </c>
      <c r="AJ27" s="10">
        <f t="shared" si="5"/>
        <v>0</v>
      </c>
      <c r="AK27" s="10">
        <f t="shared" si="6"/>
        <v>0</v>
      </c>
    </row>
    <row r="28" spans="1:37">
      <c r="A28" s="3">
        <v>10001</v>
      </c>
      <c r="B28" s="2" t="s">
        <v>86</v>
      </c>
      <c r="C28" s="3" t="s">
        <v>46</v>
      </c>
      <c r="D28" s="3" t="s">
        <v>46</v>
      </c>
      <c r="E28" s="3" t="s">
        <v>46</v>
      </c>
      <c r="F28" s="3"/>
      <c r="G28" s="3" t="s">
        <v>52</v>
      </c>
      <c r="H28" s="3" t="s">
        <v>87</v>
      </c>
      <c r="I28" s="3" t="s">
        <v>54</v>
      </c>
      <c r="J28" s="3" t="s">
        <v>49</v>
      </c>
      <c r="K28" s="4"/>
      <c r="L28" s="3" t="s">
        <v>55</v>
      </c>
      <c r="M28" s="4">
        <v>5000</v>
      </c>
      <c r="N28" s="2">
        <v>5</v>
      </c>
      <c r="O28" s="5" t="s">
        <v>55</v>
      </c>
      <c r="P28" s="25">
        <v>24.64</v>
      </c>
      <c r="Q28" s="26">
        <f t="shared" si="0"/>
        <v>776.16</v>
      </c>
      <c r="R28" s="27">
        <v>2</v>
      </c>
      <c r="S28" s="2"/>
      <c r="T28" s="2">
        <v>153</v>
      </c>
      <c r="U28" s="2"/>
      <c r="V28" s="10">
        <v>139577</v>
      </c>
      <c r="W28" s="10">
        <v>154530</v>
      </c>
      <c r="X28" s="10">
        <v>103</v>
      </c>
      <c r="Y28" s="10">
        <v>115</v>
      </c>
      <c r="Z28" s="2">
        <f t="shared" ref="Z28:AC28" si="30">_xlfn.RANK.EQ(V28,V$4:V$200)</f>
        <v>18</v>
      </c>
      <c r="AA28" s="2">
        <f t="shared" si="30"/>
        <v>21</v>
      </c>
      <c r="AB28" s="2">
        <f t="shared" si="30"/>
        <v>25</v>
      </c>
      <c r="AC28" s="2">
        <f t="shared" si="30"/>
        <v>27</v>
      </c>
      <c r="AD28" s="10">
        <f t="shared" si="2"/>
        <v>109</v>
      </c>
      <c r="AE28" s="2">
        <v>245</v>
      </c>
      <c r="AF28" s="10">
        <f t="shared" si="3"/>
        <v>115</v>
      </c>
      <c r="AG28" s="2">
        <v>200</v>
      </c>
      <c r="AH28" s="2">
        <v>400</v>
      </c>
      <c r="AI28" s="42">
        <f t="shared" ref="AI28:AI35" si="31">T28+MAX(AD28,AF28)*2.35</f>
        <v>423.25</v>
      </c>
      <c r="AJ28" s="10">
        <f t="shared" si="5"/>
        <v>0</v>
      </c>
      <c r="AK28" s="10">
        <f t="shared" si="6"/>
        <v>0</v>
      </c>
    </row>
    <row r="29" spans="1:37">
      <c r="A29" s="3">
        <v>10057</v>
      </c>
      <c r="B29" s="2" t="s">
        <v>88</v>
      </c>
      <c r="C29" s="3" t="s">
        <v>46</v>
      </c>
      <c r="D29" s="3" t="s">
        <v>46</v>
      </c>
      <c r="E29" s="3" t="s">
        <v>46</v>
      </c>
      <c r="F29" s="3"/>
      <c r="G29" s="3" t="s">
        <v>52</v>
      </c>
      <c r="H29" s="3" t="s">
        <v>87</v>
      </c>
      <c r="I29" s="3" t="s">
        <v>54</v>
      </c>
      <c r="J29" s="3" t="s">
        <v>49</v>
      </c>
      <c r="K29" s="4"/>
      <c r="L29" s="3" t="s">
        <v>55</v>
      </c>
      <c r="M29" s="4">
        <v>5000</v>
      </c>
      <c r="N29" s="2">
        <v>5</v>
      </c>
      <c r="O29" s="5" t="s">
        <v>55</v>
      </c>
      <c r="P29" s="25">
        <v>21.56</v>
      </c>
      <c r="Q29" s="26">
        <f t="shared" si="0"/>
        <v>679.14</v>
      </c>
      <c r="R29" s="27">
        <v>2</v>
      </c>
      <c r="S29" s="2"/>
      <c r="T29" s="2">
        <v>102</v>
      </c>
      <c r="U29" s="2"/>
      <c r="V29" s="10">
        <v>132148</v>
      </c>
      <c r="W29" s="10">
        <v>134244</v>
      </c>
      <c r="X29" s="10">
        <v>112</v>
      </c>
      <c r="Y29" s="10">
        <v>114</v>
      </c>
      <c r="Z29" s="2">
        <f t="shared" ref="Z29:AC29" si="32">_xlfn.RANK.EQ(V29,V$4:V$200)</f>
        <v>21</v>
      </c>
      <c r="AA29" s="2">
        <f t="shared" si="32"/>
        <v>33</v>
      </c>
      <c r="AB29" s="2">
        <f t="shared" si="32"/>
        <v>23</v>
      </c>
      <c r="AC29" s="2">
        <f t="shared" si="32"/>
        <v>28</v>
      </c>
      <c r="AD29" s="10">
        <f t="shared" si="2"/>
        <v>113</v>
      </c>
      <c r="AE29" s="2">
        <v>636</v>
      </c>
      <c r="AF29" s="10">
        <f t="shared" si="3"/>
        <v>114</v>
      </c>
      <c r="AG29" s="2"/>
      <c r="AH29" s="2"/>
      <c r="AI29" s="42">
        <f t="shared" si="31"/>
        <v>369.90000000000003</v>
      </c>
      <c r="AJ29" s="10">
        <f t="shared" si="5"/>
        <v>0</v>
      </c>
      <c r="AK29" s="10">
        <f t="shared" si="6"/>
        <v>0</v>
      </c>
    </row>
    <row r="30" spans="1:37">
      <c r="A30" s="3">
        <v>10223</v>
      </c>
      <c r="B30" s="2" t="s">
        <v>89</v>
      </c>
      <c r="C30" s="3" t="s">
        <v>46</v>
      </c>
      <c r="D30" s="3" t="s">
        <v>46</v>
      </c>
      <c r="E30" s="3" t="s">
        <v>46</v>
      </c>
      <c r="F30" s="3"/>
      <c r="G30" s="3" t="s">
        <v>52</v>
      </c>
      <c r="H30" s="3" t="s">
        <v>87</v>
      </c>
      <c r="I30" s="3" t="s">
        <v>54</v>
      </c>
      <c r="J30" s="3" t="s">
        <v>49</v>
      </c>
      <c r="K30" s="4"/>
      <c r="L30" s="3" t="s">
        <v>55</v>
      </c>
      <c r="M30" s="4">
        <v>5000</v>
      </c>
      <c r="N30" s="2">
        <v>5</v>
      </c>
      <c r="O30" s="5" t="s">
        <v>55</v>
      </c>
      <c r="P30" s="25">
        <v>17.16</v>
      </c>
      <c r="Q30" s="26">
        <f t="shared" si="0"/>
        <v>540.54</v>
      </c>
      <c r="R30" s="27">
        <v>2</v>
      </c>
      <c r="S30" s="2"/>
      <c r="T30" s="2">
        <v>51</v>
      </c>
      <c r="U30" s="2"/>
      <c r="V30" s="10">
        <v>57152</v>
      </c>
      <c r="W30" s="10">
        <v>48638</v>
      </c>
      <c r="X30" s="10">
        <v>61</v>
      </c>
      <c r="Y30" s="10">
        <v>52</v>
      </c>
      <c r="Z30" s="2">
        <f t="shared" ref="Z30:AC30" si="33">_xlfn.RANK.EQ(V30,V$4:V$200)</f>
        <v>81</v>
      </c>
      <c r="AA30" s="2">
        <f t="shared" si="33"/>
        <v>110</v>
      </c>
      <c r="AB30" s="2">
        <f t="shared" si="33"/>
        <v>50</v>
      </c>
      <c r="AC30" s="2">
        <f t="shared" si="33"/>
        <v>70</v>
      </c>
      <c r="AD30" s="10">
        <f t="shared" si="2"/>
        <v>56.5</v>
      </c>
      <c r="AE30" s="2">
        <v>237</v>
      </c>
      <c r="AF30" s="10">
        <f t="shared" si="3"/>
        <v>52</v>
      </c>
      <c r="AG30" s="2">
        <v>30</v>
      </c>
      <c r="AH30" s="2"/>
      <c r="AI30" s="42">
        <f t="shared" si="31"/>
        <v>183.77500000000001</v>
      </c>
      <c r="AJ30" s="10">
        <f t="shared" si="5"/>
        <v>0</v>
      </c>
      <c r="AK30" s="10">
        <f t="shared" si="6"/>
        <v>0</v>
      </c>
    </row>
    <row r="31" spans="1:37">
      <c r="A31" s="3">
        <v>10254</v>
      </c>
      <c r="B31" s="2" t="s">
        <v>90</v>
      </c>
      <c r="C31" s="3" t="s">
        <v>46</v>
      </c>
      <c r="D31" s="3" t="s">
        <v>46</v>
      </c>
      <c r="E31" s="3" t="s">
        <v>46</v>
      </c>
      <c r="F31" s="3"/>
      <c r="G31" s="3" t="s">
        <v>52</v>
      </c>
      <c r="H31" s="3" t="s">
        <v>87</v>
      </c>
      <c r="I31" s="3" t="s">
        <v>54</v>
      </c>
      <c r="J31" s="3" t="s">
        <v>49</v>
      </c>
      <c r="K31" s="4"/>
      <c r="L31" s="3" t="s">
        <v>55</v>
      </c>
      <c r="M31" s="4">
        <v>5000</v>
      </c>
      <c r="N31" s="2">
        <v>5</v>
      </c>
      <c r="O31" s="5" t="s">
        <v>55</v>
      </c>
      <c r="P31" s="25">
        <v>17.16</v>
      </c>
      <c r="Q31" s="26">
        <f t="shared" si="0"/>
        <v>540.54</v>
      </c>
      <c r="R31" s="27">
        <v>2</v>
      </c>
      <c r="S31" s="2"/>
      <c r="T31" s="2">
        <v>51</v>
      </c>
      <c r="U31" s="2"/>
      <c r="V31" s="10">
        <v>61048</v>
      </c>
      <c r="W31" s="10">
        <v>41398</v>
      </c>
      <c r="X31" s="10">
        <v>65</v>
      </c>
      <c r="Y31" s="10">
        <v>44</v>
      </c>
      <c r="Z31" s="2">
        <f t="shared" ref="Z31:AC31" si="34">_xlfn.RANK.EQ(V31,V$4:V$200)</f>
        <v>72</v>
      </c>
      <c r="AA31" s="2">
        <f t="shared" si="34"/>
        <v>119</v>
      </c>
      <c r="AB31" s="2">
        <f t="shared" si="34"/>
        <v>47</v>
      </c>
      <c r="AC31" s="2">
        <f t="shared" si="34"/>
        <v>88</v>
      </c>
      <c r="AD31" s="10">
        <f t="shared" si="2"/>
        <v>54.5</v>
      </c>
      <c r="AE31" s="2">
        <v>258</v>
      </c>
      <c r="AF31" s="10">
        <f t="shared" si="3"/>
        <v>44</v>
      </c>
      <c r="AG31" s="2"/>
      <c r="AH31" s="2"/>
      <c r="AI31" s="42">
        <f t="shared" si="31"/>
        <v>179.07500000000002</v>
      </c>
      <c r="AJ31" s="10">
        <f t="shared" si="5"/>
        <v>0</v>
      </c>
      <c r="AK31" s="10">
        <f t="shared" si="6"/>
        <v>0</v>
      </c>
    </row>
    <row r="32" spans="1:37">
      <c r="A32" s="3">
        <v>10220</v>
      </c>
      <c r="B32" s="2" t="s">
        <v>91</v>
      </c>
      <c r="C32" s="3" t="s">
        <v>46</v>
      </c>
      <c r="D32" s="3" t="s">
        <v>46</v>
      </c>
      <c r="E32" s="3" t="s">
        <v>46</v>
      </c>
      <c r="F32" s="3"/>
      <c r="G32" s="3" t="s">
        <v>52</v>
      </c>
      <c r="H32" s="3" t="s">
        <v>87</v>
      </c>
      <c r="I32" s="3" t="s">
        <v>54</v>
      </c>
      <c r="J32" s="3" t="s">
        <v>49</v>
      </c>
      <c r="K32" s="4"/>
      <c r="L32" s="3" t="s">
        <v>55</v>
      </c>
      <c r="M32" s="4">
        <v>5000</v>
      </c>
      <c r="N32" s="2">
        <v>5</v>
      </c>
      <c r="O32" s="5" t="s">
        <v>55</v>
      </c>
      <c r="P32" s="25">
        <v>45.76</v>
      </c>
      <c r="Q32" s="26">
        <f t="shared" si="0"/>
        <v>1441.4399999999998</v>
      </c>
      <c r="R32" s="27">
        <v>2</v>
      </c>
      <c r="S32" s="2"/>
      <c r="T32" s="2">
        <v>102</v>
      </c>
      <c r="U32" s="2"/>
      <c r="V32" s="10">
        <v>154051</v>
      </c>
      <c r="W32" s="10">
        <v>164187</v>
      </c>
      <c r="X32" s="10">
        <v>62</v>
      </c>
      <c r="Y32" s="10">
        <v>66</v>
      </c>
      <c r="Z32" s="2">
        <f t="shared" ref="Z32:AC32" si="35">_xlfn.RANK.EQ(V32,V$4:V$200)</f>
        <v>15</v>
      </c>
      <c r="AA32" s="2">
        <f t="shared" si="35"/>
        <v>18</v>
      </c>
      <c r="AB32" s="2">
        <f t="shared" si="35"/>
        <v>48</v>
      </c>
      <c r="AC32" s="2">
        <f t="shared" si="35"/>
        <v>50</v>
      </c>
      <c r="AD32" s="10">
        <f t="shared" si="2"/>
        <v>64</v>
      </c>
      <c r="AE32" s="2">
        <v>297</v>
      </c>
      <c r="AF32" s="10">
        <f t="shared" si="3"/>
        <v>66</v>
      </c>
      <c r="AG32" s="2"/>
      <c r="AH32" s="2"/>
      <c r="AI32" s="42">
        <f t="shared" si="31"/>
        <v>257.10000000000002</v>
      </c>
      <c r="AJ32" s="10">
        <f t="shared" si="5"/>
        <v>30</v>
      </c>
      <c r="AK32" s="10">
        <f t="shared" si="6"/>
        <v>43243.199999999997</v>
      </c>
    </row>
    <row r="33" spans="1:37">
      <c r="A33" s="3">
        <v>10219</v>
      </c>
      <c r="B33" s="2" t="s">
        <v>92</v>
      </c>
      <c r="C33" s="3" t="s">
        <v>46</v>
      </c>
      <c r="D33" s="3" t="s">
        <v>46</v>
      </c>
      <c r="E33" s="3" t="s">
        <v>46</v>
      </c>
      <c r="F33" s="3"/>
      <c r="G33" s="3" t="s">
        <v>52</v>
      </c>
      <c r="H33" s="3" t="s">
        <v>87</v>
      </c>
      <c r="I33" s="3" t="s">
        <v>54</v>
      </c>
      <c r="J33" s="3" t="s">
        <v>49</v>
      </c>
      <c r="K33" s="4"/>
      <c r="L33" s="3" t="s">
        <v>55</v>
      </c>
      <c r="M33" s="4">
        <v>5000</v>
      </c>
      <c r="N33" s="2">
        <v>5</v>
      </c>
      <c r="O33" s="5" t="s">
        <v>55</v>
      </c>
      <c r="P33" s="25">
        <v>42.24</v>
      </c>
      <c r="Q33" s="26">
        <f t="shared" si="0"/>
        <v>1330.5600000000002</v>
      </c>
      <c r="R33" s="27">
        <v>2</v>
      </c>
      <c r="S33" s="2"/>
      <c r="T33" s="2">
        <v>51</v>
      </c>
      <c r="U33" s="2"/>
      <c r="V33" s="10">
        <v>48258</v>
      </c>
      <c r="W33" s="10">
        <v>66982</v>
      </c>
      <c r="X33" s="10">
        <v>21</v>
      </c>
      <c r="Y33" s="10">
        <v>29</v>
      </c>
      <c r="Z33" s="2">
        <f t="shared" ref="Z33:AC33" si="36">_xlfn.RANK.EQ(V33,V$4:V$200)</f>
        <v>95</v>
      </c>
      <c r="AA33" s="2">
        <f t="shared" si="36"/>
        <v>83</v>
      </c>
      <c r="AB33" s="2">
        <f t="shared" si="36"/>
        <v>114</v>
      </c>
      <c r="AC33" s="2">
        <f t="shared" si="36"/>
        <v>107</v>
      </c>
      <c r="AD33" s="10">
        <f t="shared" si="2"/>
        <v>25</v>
      </c>
      <c r="AE33" s="2">
        <v>308</v>
      </c>
      <c r="AF33" s="10">
        <f t="shared" si="3"/>
        <v>29</v>
      </c>
      <c r="AG33" s="2"/>
      <c r="AH33" s="2"/>
      <c r="AI33" s="42">
        <f t="shared" si="31"/>
        <v>119.15</v>
      </c>
      <c r="AJ33" s="10">
        <f t="shared" si="5"/>
        <v>0</v>
      </c>
      <c r="AK33" s="10">
        <f t="shared" si="6"/>
        <v>0</v>
      </c>
    </row>
    <row r="34" spans="1:37">
      <c r="A34" s="3">
        <v>10072</v>
      </c>
      <c r="B34" s="2" t="s">
        <v>93</v>
      </c>
      <c r="C34" s="3" t="s">
        <v>46</v>
      </c>
      <c r="D34" s="3" t="s">
        <v>46</v>
      </c>
      <c r="E34" s="3" t="s">
        <v>46</v>
      </c>
      <c r="F34" s="3"/>
      <c r="G34" s="3" t="s">
        <v>52</v>
      </c>
      <c r="H34" s="3" t="s">
        <v>87</v>
      </c>
      <c r="I34" s="3" t="s">
        <v>54</v>
      </c>
      <c r="J34" s="3" t="s">
        <v>49</v>
      </c>
      <c r="K34" s="4"/>
      <c r="L34" s="3" t="s">
        <v>55</v>
      </c>
      <c r="M34" s="4">
        <v>5000</v>
      </c>
      <c r="N34" s="2">
        <v>5</v>
      </c>
      <c r="O34" s="5" t="s">
        <v>55</v>
      </c>
      <c r="P34" s="25">
        <v>45.76</v>
      </c>
      <c r="Q34" s="26">
        <f t="shared" si="0"/>
        <v>1441.4399999999998</v>
      </c>
      <c r="R34" s="27">
        <v>2</v>
      </c>
      <c r="S34" s="2"/>
      <c r="T34" s="2">
        <v>102</v>
      </c>
      <c r="U34" s="2"/>
      <c r="V34" s="10">
        <v>94535</v>
      </c>
      <c r="W34" s="10">
        <v>112283</v>
      </c>
      <c r="X34" s="10">
        <v>38</v>
      </c>
      <c r="Y34" s="10">
        <v>45</v>
      </c>
      <c r="Z34" s="2">
        <f t="shared" ref="Z34:AC34" si="37">_xlfn.RANK.EQ(V34,V$4:V$200)</f>
        <v>45</v>
      </c>
      <c r="AA34" s="2">
        <f t="shared" si="37"/>
        <v>44</v>
      </c>
      <c r="AB34" s="2">
        <f t="shared" si="37"/>
        <v>83</v>
      </c>
      <c r="AC34" s="2">
        <f t="shared" si="37"/>
        <v>85</v>
      </c>
      <c r="AD34" s="10">
        <f t="shared" si="2"/>
        <v>41.5</v>
      </c>
      <c r="AE34" s="2">
        <v>272</v>
      </c>
      <c r="AF34" s="10">
        <f t="shared" si="3"/>
        <v>45</v>
      </c>
      <c r="AG34" s="2"/>
      <c r="AH34" s="2"/>
      <c r="AI34" s="42">
        <f t="shared" si="31"/>
        <v>207.75</v>
      </c>
      <c r="AJ34" s="10">
        <f t="shared" si="5"/>
        <v>0</v>
      </c>
      <c r="AK34" s="10">
        <f t="shared" si="6"/>
        <v>0</v>
      </c>
    </row>
    <row r="35" spans="1:37">
      <c r="A35" s="3">
        <v>10002</v>
      </c>
      <c r="B35" s="2" t="s">
        <v>94</v>
      </c>
      <c r="C35" s="3" t="s">
        <v>46</v>
      </c>
      <c r="D35" s="3" t="s">
        <v>46</v>
      </c>
      <c r="E35" s="3" t="s">
        <v>46</v>
      </c>
      <c r="F35" s="3"/>
      <c r="G35" s="3" t="s">
        <v>52</v>
      </c>
      <c r="H35" s="3" t="s">
        <v>87</v>
      </c>
      <c r="I35" s="3" t="s">
        <v>54</v>
      </c>
      <c r="J35" s="3" t="s">
        <v>49</v>
      </c>
      <c r="K35" s="4"/>
      <c r="L35" s="3" t="s">
        <v>55</v>
      </c>
      <c r="M35" s="4">
        <v>5000</v>
      </c>
      <c r="N35" s="2">
        <v>5</v>
      </c>
      <c r="O35" s="5" t="s">
        <v>55</v>
      </c>
      <c r="P35" s="25">
        <v>39.6</v>
      </c>
      <c r="Q35" s="26">
        <f t="shared" si="0"/>
        <v>1247.4000000000001</v>
      </c>
      <c r="R35" s="27">
        <v>2</v>
      </c>
      <c r="S35" s="2"/>
      <c r="T35" s="2">
        <v>51</v>
      </c>
      <c r="U35" s="2"/>
      <c r="V35" s="10">
        <v>51889</v>
      </c>
      <c r="W35" s="10">
        <v>47322</v>
      </c>
      <c r="X35" s="10">
        <v>24</v>
      </c>
      <c r="Y35" s="10">
        <v>22</v>
      </c>
      <c r="Z35" s="2">
        <f t="shared" ref="Z35:AC35" si="38">_xlfn.RANK.EQ(V35,V$4:V$200)</f>
        <v>88</v>
      </c>
      <c r="AA35" s="2">
        <f t="shared" si="38"/>
        <v>111</v>
      </c>
      <c r="AB35" s="2">
        <f t="shared" si="38"/>
        <v>110</v>
      </c>
      <c r="AC35" s="2">
        <f t="shared" si="38"/>
        <v>124</v>
      </c>
      <c r="AD35" s="10">
        <f t="shared" si="2"/>
        <v>23</v>
      </c>
      <c r="AE35" s="2">
        <v>197</v>
      </c>
      <c r="AF35" s="10">
        <f t="shared" si="3"/>
        <v>22</v>
      </c>
      <c r="AG35" s="2"/>
      <c r="AH35" s="2"/>
      <c r="AI35" s="42">
        <f t="shared" si="31"/>
        <v>105.05000000000001</v>
      </c>
      <c r="AJ35" s="10">
        <f t="shared" si="5"/>
        <v>0</v>
      </c>
      <c r="AK35" s="10">
        <f t="shared" si="6"/>
        <v>0</v>
      </c>
    </row>
    <row r="36" spans="1:37">
      <c r="A36" s="3">
        <v>10311</v>
      </c>
      <c r="B36" s="2" t="s">
        <v>95</v>
      </c>
      <c r="C36" s="3" t="s">
        <v>46</v>
      </c>
      <c r="D36" s="3" t="s">
        <v>46</v>
      </c>
      <c r="E36" s="3" t="s">
        <v>46</v>
      </c>
      <c r="F36" s="3"/>
      <c r="G36" s="3" t="s">
        <v>96</v>
      </c>
      <c r="H36" s="3"/>
      <c r="I36" s="3" t="s">
        <v>48</v>
      </c>
      <c r="J36" s="3" t="s">
        <v>49</v>
      </c>
      <c r="K36" s="4"/>
      <c r="L36" s="3"/>
      <c r="M36" s="4"/>
      <c r="N36" s="2">
        <v>5</v>
      </c>
      <c r="O36" s="5" t="s">
        <v>50</v>
      </c>
      <c r="P36" s="25">
        <v>796</v>
      </c>
      <c r="Q36" s="26">
        <f t="shared" si="0"/>
        <v>796</v>
      </c>
      <c r="R36" s="27">
        <v>1.5</v>
      </c>
      <c r="S36" s="2"/>
      <c r="T36" s="2">
        <v>51</v>
      </c>
      <c r="U36" s="2"/>
      <c r="V36" s="10">
        <v>65272</v>
      </c>
      <c r="W36" s="10">
        <v>65424</v>
      </c>
      <c r="X36" s="10">
        <v>43</v>
      </c>
      <c r="Y36" s="10">
        <v>43</v>
      </c>
      <c r="Z36" s="2">
        <f t="shared" ref="Z36:AC36" si="39">_xlfn.RANK.EQ(V36,V$4:V$200)</f>
        <v>63</v>
      </c>
      <c r="AA36" s="2">
        <f t="shared" si="39"/>
        <v>85</v>
      </c>
      <c r="AB36" s="2">
        <f t="shared" si="39"/>
        <v>73</v>
      </c>
      <c r="AC36" s="2">
        <f t="shared" si="39"/>
        <v>89</v>
      </c>
      <c r="AD36" s="10">
        <f t="shared" si="2"/>
        <v>43</v>
      </c>
      <c r="AE36" s="2">
        <v>290</v>
      </c>
      <c r="AF36" s="10">
        <f t="shared" si="3"/>
        <v>43</v>
      </c>
      <c r="AG36" s="2"/>
      <c r="AH36" s="2"/>
      <c r="AI36" s="41">
        <f t="shared" ref="AI36:AI82" si="40">T36+MAX(AD36,AF36)*1.5</f>
        <v>115.5</v>
      </c>
      <c r="AJ36" s="10">
        <f t="shared" si="5"/>
        <v>0</v>
      </c>
      <c r="AK36" s="10">
        <f t="shared" si="6"/>
        <v>0</v>
      </c>
    </row>
    <row r="37" spans="1:37">
      <c r="A37" s="3">
        <v>10312</v>
      </c>
      <c r="B37" s="2" t="s">
        <v>97</v>
      </c>
      <c r="C37" s="3" t="s">
        <v>46</v>
      </c>
      <c r="D37" s="3" t="s">
        <v>46</v>
      </c>
      <c r="E37" s="3" t="s">
        <v>60</v>
      </c>
      <c r="F37" s="3" t="s">
        <v>61</v>
      </c>
      <c r="G37" s="3" t="s">
        <v>96</v>
      </c>
      <c r="H37" s="3"/>
      <c r="I37" s="3" t="s">
        <v>48</v>
      </c>
      <c r="J37" s="3" t="s">
        <v>49</v>
      </c>
      <c r="K37" s="4"/>
      <c r="L37" s="3"/>
      <c r="M37" s="4"/>
      <c r="N37" s="2">
        <v>5</v>
      </c>
      <c r="O37" s="5" t="s">
        <v>50</v>
      </c>
      <c r="P37" s="25">
        <v>672</v>
      </c>
      <c r="Q37" s="26">
        <f t="shared" si="0"/>
        <v>672</v>
      </c>
      <c r="R37" s="27">
        <v>1.5</v>
      </c>
      <c r="S37" s="2"/>
      <c r="T37" s="2">
        <v>102</v>
      </c>
      <c r="U37" s="2"/>
      <c r="V37" s="10">
        <v>75630</v>
      </c>
      <c r="W37" s="10">
        <v>76704</v>
      </c>
      <c r="X37" s="10">
        <v>59</v>
      </c>
      <c r="Y37" s="10">
        <v>60</v>
      </c>
      <c r="Z37" s="2">
        <f t="shared" ref="Z37:AC37" si="41">_xlfn.RANK.EQ(V37,V$4:V$200)</f>
        <v>54</v>
      </c>
      <c r="AA37" s="2">
        <f t="shared" si="41"/>
        <v>70</v>
      </c>
      <c r="AB37" s="2">
        <f t="shared" si="41"/>
        <v>53</v>
      </c>
      <c r="AC37" s="2">
        <f t="shared" si="41"/>
        <v>57</v>
      </c>
      <c r="AD37" s="10">
        <f t="shared" si="2"/>
        <v>59.5</v>
      </c>
      <c r="AE37" s="2">
        <v>324</v>
      </c>
      <c r="AF37" s="10">
        <f t="shared" si="3"/>
        <v>60</v>
      </c>
      <c r="AG37" s="2"/>
      <c r="AH37" s="2"/>
      <c r="AI37" s="41">
        <f t="shared" si="40"/>
        <v>192</v>
      </c>
      <c r="AJ37" s="10">
        <f t="shared" si="5"/>
        <v>0</v>
      </c>
      <c r="AK37" s="10">
        <f t="shared" si="6"/>
        <v>0</v>
      </c>
    </row>
    <row r="38" spans="1:37">
      <c r="A38" s="3">
        <v>10266</v>
      </c>
      <c r="B38" s="2" t="s">
        <v>98</v>
      </c>
      <c r="C38" s="3"/>
      <c r="D38" s="3" t="s">
        <v>46</v>
      </c>
      <c r="E38" s="3" t="s">
        <v>46</v>
      </c>
      <c r="F38" s="3" t="s">
        <v>61</v>
      </c>
      <c r="G38" s="3" t="s">
        <v>75</v>
      </c>
      <c r="H38" s="3"/>
      <c r="I38" s="3" t="s">
        <v>48</v>
      </c>
      <c r="J38" s="3" t="s">
        <v>49</v>
      </c>
      <c r="K38" s="4"/>
      <c r="L38" s="3"/>
      <c r="M38" s="4"/>
      <c r="N38" s="2">
        <v>5</v>
      </c>
      <c r="O38" s="5" t="s">
        <v>55</v>
      </c>
      <c r="P38" s="25">
        <v>36.479999999999997</v>
      </c>
      <c r="Q38" s="26">
        <f t="shared" si="0"/>
        <v>1149.1199999999999</v>
      </c>
      <c r="R38" s="27">
        <v>1.5</v>
      </c>
      <c r="S38" s="2"/>
      <c r="T38" s="2">
        <v>51</v>
      </c>
      <c r="U38" s="2"/>
      <c r="V38" s="10">
        <v>19976</v>
      </c>
      <c r="W38" s="10">
        <v>34567</v>
      </c>
      <c r="X38" s="10">
        <v>11</v>
      </c>
      <c r="Y38" s="10">
        <v>19</v>
      </c>
      <c r="Z38" s="2">
        <f t="shared" ref="Z38:AC38" si="42">_xlfn.RANK.EQ(V38,V$4:V$200)</f>
        <v>142</v>
      </c>
      <c r="AA38" s="2">
        <f t="shared" si="42"/>
        <v>130</v>
      </c>
      <c r="AB38" s="2">
        <f t="shared" si="42"/>
        <v>144</v>
      </c>
      <c r="AC38" s="2">
        <f t="shared" si="42"/>
        <v>135</v>
      </c>
      <c r="AD38" s="10">
        <f t="shared" si="2"/>
        <v>15</v>
      </c>
      <c r="AE38" s="2">
        <v>139</v>
      </c>
      <c r="AF38" s="10">
        <f t="shared" si="3"/>
        <v>19</v>
      </c>
      <c r="AG38" s="2"/>
      <c r="AH38" s="2"/>
      <c r="AI38" s="41">
        <f t="shared" si="40"/>
        <v>79.5</v>
      </c>
      <c r="AJ38" s="10">
        <f t="shared" si="5"/>
        <v>0</v>
      </c>
      <c r="AK38" s="10">
        <f t="shared" si="6"/>
        <v>0</v>
      </c>
    </row>
    <row r="39" spans="1:37">
      <c r="A39" s="3">
        <v>10410</v>
      </c>
      <c r="B39" s="2" t="s">
        <v>99</v>
      </c>
      <c r="C39" s="3"/>
      <c r="D39" s="3" t="s">
        <v>46</v>
      </c>
      <c r="E39" s="3" t="s">
        <v>46</v>
      </c>
      <c r="F39" s="3"/>
      <c r="G39" s="3" t="s">
        <v>75</v>
      </c>
      <c r="H39" s="3"/>
      <c r="I39" s="3" t="s">
        <v>48</v>
      </c>
      <c r="J39" s="3" t="s">
        <v>49</v>
      </c>
      <c r="K39" s="4"/>
      <c r="L39" s="3"/>
      <c r="M39" s="4"/>
      <c r="N39" s="2">
        <v>5</v>
      </c>
      <c r="O39" s="5" t="s">
        <v>55</v>
      </c>
      <c r="P39" s="25">
        <v>32.64</v>
      </c>
      <c r="Q39" s="26">
        <f t="shared" si="0"/>
        <v>1028.1600000000001</v>
      </c>
      <c r="R39" s="27">
        <v>1.5</v>
      </c>
      <c r="S39" s="2"/>
      <c r="T39" s="2">
        <v>51</v>
      </c>
      <c r="U39" s="2"/>
      <c r="V39" s="10">
        <v>22825</v>
      </c>
      <c r="W39" s="10">
        <v>43959</v>
      </c>
      <c r="X39" s="10">
        <v>14</v>
      </c>
      <c r="Y39" s="10">
        <v>27</v>
      </c>
      <c r="Z39" s="2">
        <f t="shared" ref="Z39:AC39" si="43">_xlfn.RANK.EQ(V39,V$4:V$200)</f>
        <v>135</v>
      </c>
      <c r="AA39" s="2">
        <f t="shared" si="43"/>
        <v>115</v>
      </c>
      <c r="AB39" s="2">
        <f t="shared" si="43"/>
        <v>132</v>
      </c>
      <c r="AC39" s="2">
        <f t="shared" si="43"/>
        <v>109</v>
      </c>
      <c r="AD39" s="10">
        <f t="shared" si="2"/>
        <v>20.5</v>
      </c>
      <c r="AE39" s="2">
        <v>136</v>
      </c>
      <c r="AF39" s="10">
        <f t="shared" si="3"/>
        <v>27</v>
      </c>
      <c r="AG39" s="2"/>
      <c r="AH39" s="2"/>
      <c r="AI39" s="41">
        <f t="shared" si="40"/>
        <v>91.5</v>
      </c>
      <c r="AJ39" s="10">
        <f t="shared" si="5"/>
        <v>0</v>
      </c>
      <c r="AK39" s="10">
        <f t="shared" si="6"/>
        <v>0</v>
      </c>
    </row>
    <row r="40" spans="1:37">
      <c r="A40" s="3">
        <v>10416</v>
      </c>
      <c r="B40" s="2" t="s">
        <v>100</v>
      </c>
      <c r="C40" s="3" t="s">
        <v>46</v>
      </c>
      <c r="D40" s="3" t="s">
        <v>46</v>
      </c>
      <c r="E40" s="3" t="s">
        <v>46</v>
      </c>
      <c r="F40" s="3"/>
      <c r="G40" s="3" t="s">
        <v>52</v>
      </c>
      <c r="H40" s="3" t="s">
        <v>69</v>
      </c>
      <c r="I40" s="3" t="s">
        <v>54</v>
      </c>
      <c r="J40" s="3" t="s">
        <v>49</v>
      </c>
      <c r="K40" s="4"/>
      <c r="L40" s="3" t="s">
        <v>55</v>
      </c>
      <c r="M40" s="4">
        <v>7000</v>
      </c>
      <c r="N40" s="2">
        <v>5</v>
      </c>
      <c r="O40" s="5" t="s">
        <v>55</v>
      </c>
      <c r="P40" s="25">
        <v>26.36</v>
      </c>
      <c r="Q40" s="26">
        <f t="shared" si="0"/>
        <v>830.34</v>
      </c>
      <c r="R40" s="27">
        <v>2</v>
      </c>
      <c r="S40" s="2"/>
      <c r="T40" s="2">
        <v>51</v>
      </c>
      <c r="U40" s="2"/>
      <c r="V40" s="10">
        <v>51285</v>
      </c>
      <c r="W40" s="10">
        <v>56992</v>
      </c>
      <c r="X40" s="10">
        <v>42</v>
      </c>
      <c r="Y40" s="10">
        <v>47</v>
      </c>
      <c r="Z40" s="2">
        <f t="shared" ref="Z40:AC40" si="44">_xlfn.RANK.EQ(V40,V$4:V$200)</f>
        <v>90</v>
      </c>
      <c r="AA40" s="2">
        <f t="shared" si="44"/>
        <v>94</v>
      </c>
      <c r="AB40" s="2">
        <f t="shared" si="44"/>
        <v>74</v>
      </c>
      <c r="AC40" s="2">
        <f t="shared" si="44"/>
        <v>77</v>
      </c>
      <c r="AD40" s="10">
        <f t="shared" si="2"/>
        <v>44.5</v>
      </c>
      <c r="AE40" s="2">
        <v>309</v>
      </c>
      <c r="AF40" s="10">
        <f t="shared" si="3"/>
        <v>47</v>
      </c>
      <c r="AG40" s="2"/>
      <c r="AH40" s="2"/>
      <c r="AI40" s="41">
        <f t="shared" si="40"/>
        <v>121.5</v>
      </c>
      <c r="AJ40" s="10">
        <f t="shared" si="5"/>
        <v>0</v>
      </c>
      <c r="AK40" s="10">
        <f t="shared" si="6"/>
        <v>0</v>
      </c>
    </row>
    <row r="41" spans="1:37">
      <c r="A41" s="3">
        <v>10417</v>
      </c>
      <c r="B41" s="2" t="s">
        <v>101</v>
      </c>
      <c r="C41" s="3" t="s">
        <v>46</v>
      </c>
      <c r="D41" s="3" t="s">
        <v>46</v>
      </c>
      <c r="E41" s="3" t="s">
        <v>60</v>
      </c>
      <c r="F41" s="3" t="s">
        <v>61</v>
      </c>
      <c r="G41" s="3" t="s">
        <v>52</v>
      </c>
      <c r="H41" s="3" t="s">
        <v>69</v>
      </c>
      <c r="I41" s="3" t="s">
        <v>54</v>
      </c>
      <c r="J41" s="3" t="s">
        <v>49</v>
      </c>
      <c r="K41" s="4"/>
      <c r="L41" s="3" t="s">
        <v>55</v>
      </c>
      <c r="M41" s="4">
        <v>7000</v>
      </c>
      <c r="N41" s="2">
        <v>5</v>
      </c>
      <c r="O41" s="5" t="s">
        <v>55</v>
      </c>
      <c r="P41" s="25">
        <v>30.8</v>
      </c>
      <c r="Q41" s="26">
        <f t="shared" si="0"/>
        <v>970.2</v>
      </c>
      <c r="R41" s="27">
        <v>2</v>
      </c>
      <c r="S41" s="2"/>
      <c r="T41" s="2">
        <v>51</v>
      </c>
      <c r="U41" s="2"/>
      <c r="V41" s="10">
        <v>47195</v>
      </c>
      <c r="W41" s="10">
        <v>52810</v>
      </c>
      <c r="X41" s="10">
        <v>34</v>
      </c>
      <c r="Y41" s="10">
        <v>38</v>
      </c>
      <c r="Z41" s="2">
        <f t="shared" ref="Z41:AC41" si="45">_xlfn.RANK.EQ(V41,V$4:V$200)</f>
        <v>97</v>
      </c>
      <c r="AA41" s="2">
        <f t="shared" si="45"/>
        <v>101</v>
      </c>
      <c r="AB41" s="2">
        <f t="shared" si="45"/>
        <v>89</v>
      </c>
      <c r="AC41" s="2">
        <f t="shared" si="45"/>
        <v>93</v>
      </c>
      <c r="AD41" s="10">
        <f t="shared" si="2"/>
        <v>36</v>
      </c>
      <c r="AE41" s="2">
        <v>112</v>
      </c>
      <c r="AF41" s="10">
        <f t="shared" si="3"/>
        <v>38</v>
      </c>
      <c r="AG41" s="2"/>
      <c r="AH41" s="2"/>
      <c r="AI41" s="41">
        <f t="shared" si="40"/>
        <v>108</v>
      </c>
      <c r="AJ41" s="10">
        <f t="shared" si="5"/>
        <v>0</v>
      </c>
      <c r="AK41" s="10">
        <f t="shared" si="6"/>
        <v>0</v>
      </c>
    </row>
    <row r="42" spans="1:37">
      <c r="A42" s="3">
        <v>10104</v>
      </c>
      <c r="B42" s="2" t="s">
        <v>102</v>
      </c>
      <c r="C42" s="3"/>
      <c r="D42" s="3" t="s">
        <v>46</v>
      </c>
      <c r="E42" s="3" t="s">
        <v>46</v>
      </c>
      <c r="F42" s="3"/>
      <c r="G42" s="3" t="s">
        <v>103</v>
      </c>
      <c r="H42" s="3" t="s">
        <v>69</v>
      </c>
      <c r="I42" s="3" t="s">
        <v>63</v>
      </c>
      <c r="J42" s="3" t="s">
        <v>49</v>
      </c>
      <c r="K42" s="4"/>
      <c r="L42" s="3" t="s">
        <v>55</v>
      </c>
      <c r="M42" s="4">
        <v>7000</v>
      </c>
      <c r="N42" s="2">
        <v>5</v>
      </c>
      <c r="O42" s="5" t="s">
        <v>55</v>
      </c>
      <c r="P42" s="25">
        <v>22.26</v>
      </c>
      <c r="Q42" s="26">
        <f t="shared" si="0"/>
        <v>701.19</v>
      </c>
      <c r="R42" s="27">
        <v>1.5</v>
      </c>
      <c r="S42" s="2"/>
      <c r="T42" s="2">
        <v>51</v>
      </c>
      <c r="U42" s="2"/>
      <c r="V42" s="10">
        <v>29409</v>
      </c>
      <c r="W42" s="10">
        <v>27217</v>
      </c>
      <c r="X42" s="10">
        <v>29</v>
      </c>
      <c r="Y42" s="10">
        <v>27</v>
      </c>
      <c r="Z42" s="2">
        <f t="shared" ref="Z42:AC42" si="46">_xlfn.RANK.EQ(V42,V$4:V$200)</f>
        <v>122</v>
      </c>
      <c r="AA42" s="2">
        <f t="shared" si="46"/>
        <v>149</v>
      </c>
      <c r="AB42" s="2">
        <f t="shared" si="46"/>
        <v>98</v>
      </c>
      <c r="AC42" s="2">
        <f t="shared" si="46"/>
        <v>109</v>
      </c>
      <c r="AD42" s="10">
        <f t="shared" si="2"/>
        <v>28</v>
      </c>
      <c r="AE42" s="2">
        <v>124</v>
      </c>
      <c r="AF42" s="10">
        <f t="shared" si="3"/>
        <v>27</v>
      </c>
      <c r="AG42" s="2"/>
      <c r="AH42" s="2"/>
      <c r="AI42" s="41">
        <f t="shared" si="40"/>
        <v>93</v>
      </c>
      <c r="AJ42" s="10">
        <f t="shared" si="5"/>
        <v>0</v>
      </c>
      <c r="AK42" s="10">
        <f t="shared" si="6"/>
        <v>0</v>
      </c>
    </row>
    <row r="43" spans="1:37">
      <c r="A43" s="3">
        <v>10233</v>
      </c>
      <c r="B43" s="2" t="s">
        <v>104</v>
      </c>
      <c r="C43" s="3"/>
      <c r="D43" s="3" t="s">
        <v>46</v>
      </c>
      <c r="E43" s="3" t="s">
        <v>60</v>
      </c>
      <c r="F43" s="3" t="s">
        <v>61</v>
      </c>
      <c r="G43" s="3" t="s">
        <v>52</v>
      </c>
      <c r="H43" s="3" t="s">
        <v>69</v>
      </c>
      <c r="I43" s="3" t="s">
        <v>54</v>
      </c>
      <c r="J43" s="3" t="s">
        <v>49</v>
      </c>
      <c r="K43" s="4"/>
      <c r="L43" s="3" t="s">
        <v>55</v>
      </c>
      <c r="M43" s="4">
        <v>7000</v>
      </c>
      <c r="N43" s="2">
        <v>5</v>
      </c>
      <c r="O43" s="5" t="s">
        <v>55</v>
      </c>
      <c r="P43" s="25">
        <v>0</v>
      </c>
      <c r="Q43" s="26">
        <f t="shared" si="0"/>
        <v>0</v>
      </c>
      <c r="R43" s="27">
        <v>2</v>
      </c>
      <c r="S43" s="2"/>
      <c r="T43" s="2">
        <v>51</v>
      </c>
      <c r="U43" s="2"/>
      <c r="V43" s="10">
        <v>27066</v>
      </c>
      <c r="W43" s="10">
        <v>34183</v>
      </c>
      <c r="X43" s="10">
        <v>26</v>
      </c>
      <c r="Y43" s="10">
        <v>33</v>
      </c>
      <c r="Z43" s="2">
        <f t="shared" ref="Z43:AC43" si="47">_xlfn.RANK.EQ(V43,V$4:V$200)</f>
        <v>128</v>
      </c>
      <c r="AA43" s="2">
        <f t="shared" si="47"/>
        <v>131</v>
      </c>
      <c r="AB43" s="2">
        <f t="shared" si="47"/>
        <v>102</v>
      </c>
      <c r="AC43" s="2">
        <f t="shared" si="47"/>
        <v>102</v>
      </c>
      <c r="AD43" s="10">
        <f t="shared" si="2"/>
        <v>29.5</v>
      </c>
      <c r="AE43" s="2">
        <v>121</v>
      </c>
      <c r="AF43" s="10">
        <f t="shared" si="3"/>
        <v>33</v>
      </c>
      <c r="AG43" s="2"/>
      <c r="AH43" s="2"/>
      <c r="AI43" s="41">
        <f t="shared" si="40"/>
        <v>100.5</v>
      </c>
      <c r="AJ43" s="10">
        <f t="shared" si="5"/>
        <v>0</v>
      </c>
      <c r="AK43" s="10">
        <f t="shared" si="6"/>
        <v>0</v>
      </c>
    </row>
    <row r="44" spans="1:37">
      <c r="A44" s="3">
        <v>10091</v>
      </c>
      <c r="B44" s="2" t="s">
        <v>105</v>
      </c>
      <c r="C44" s="3" t="s">
        <v>46</v>
      </c>
      <c r="D44" s="3" t="s">
        <v>46</v>
      </c>
      <c r="E44" s="3" t="s">
        <v>46</v>
      </c>
      <c r="F44" s="3"/>
      <c r="G44" s="3" t="s">
        <v>106</v>
      </c>
      <c r="H44" s="3"/>
      <c r="I44" s="3" t="s">
        <v>54</v>
      </c>
      <c r="J44" s="3" t="s">
        <v>49</v>
      </c>
      <c r="K44" s="4"/>
      <c r="L44" s="3"/>
      <c r="M44" s="4"/>
      <c r="N44" s="2">
        <v>5</v>
      </c>
      <c r="O44" s="5" t="s">
        <v>50</v>
      </c>
      <c r="P44" s="25">
        <v>333</v>
      </c>
      <c r="Q44" s="26">
        <f t="shared" si="0"/>
        <v>333</v>
      </c>
      <c r="R44" s="27">
        <v>1.5</v>
      </c>
      <c r="S44" s="2"/>
      <c r="T44" s="2">
        <v>183</v>
      </c>
      <c r="U44" s="2"/>
      <c r="V44" s="10">
        <v>215619</v>
      </c>
      <c r="W44" s="10">
        <v>257448</v>
      </c>
      <c r="X44" s="10">
        <v>177</v>
      </c>
      <c r="Y44" s="10">
        <v>212</v>
      </c>
      <c r="Z44" s="2">
        <f t="shared" ref="Z44:AC44" si="48">_xlfn.RANK.EQ(V44,V$4:V$200)</f>
        <v>7</v>
      </c>
      <c r="AA44" s="2">
        <f t="shared" si="48"/>
        <v>9</v>
      </c>
      <c r="AB44" s="2">
        <f t="shared" si="48"/>
        <v>11</v>
      </c>
      <c r="AC44" s="2">
        <f t="shared" si="48"/>
        <v>9</v>
      </c>
      <c r="AD44" s="10">
        <f t="shared" si="2"/>
        <v>194.5</v>
      </c>
      <c r="AE44" s="2">
        <v>192</v>
      </c>
      <c r="AF44" s="10">
        <f t="shared" si="3"/>
        <v>212</v>
      </c>
      <c r="AG44" s="2">
        <v>320</v>
      </c>
      <c r="AH44" s="2"/>
      <c r="AI44" s="41">
        <f t="shared" si="40"/>
        <v>501</v>
      </c>
      <c r="AJ44" s="10">
        <f t="shared" si="5"/>
        <v>205</v>
      </c>
      <c r="AK44" s="10">
        <f t="shared" si="6"/>
        <v>68265</v>
      </c>
    </row>
    <row r="45" spans="1:37">
      <c r="A45" s="3">
        <v>10124</v>
      </c>
      <c r="B45" s="2" t="s">
        <v>107</v>
      </c>
      <c r="C45" s="3" t="s">
        <v>46</v>
      </c>
      <c r="D45" s="3" t="s">
        <v>46</v>
      </c>
      <c r="E45" s="3" t="s">
        <v>46</v>
      </c>
      <c r="F45" s="3"/>
      <c r="G45" s="3" t="s">
        <v>106</v>
      </c>
      <c r="H45" s="3"/>
      <c r="I45" s="3" t="s">
        <v>54</v>
      </c>
      <c r="J45" s="3" t="s">
        <v>49</v>
      </c>
      <c r="K45" s="4"/>
      <c r="L45" s="3"/>
      <c r="M45" s="4"/>
      <c r="N45" s="2">
        <v>5</v>
      </c>
      <c r="O45" s="5" t="s">
        <v>50</v>
      </c>
      <c r="P45" s="25">
        <v>250</v>
      </c>
      <c r="Q45" s="26">
        <f t="shared" si="0"/>
        <v>250</v>
      </c>
      <c r="R45" s="27">
        <v>1.5</v>
      </c>
      <c r="S45" s="2"/>
      <c r="T45" s="2">
        <v>102</v>
      </c>
      <c r="U45" s="2"/>
      <c r="V45" s="10">
        <v>111910</v>
      </c>
      <c r="W45" s="10">
        <v>142025</v>
      </c>
      <c r="X45" s="10">
        <v>59</v>
      </c>
      <c r="Y45" s="10">
        <v>75</v>
      </c>
      <c r="Z45" s="2">
        <f t="shared" ref="Z45:AC45" si="49">_xlfn.RANK.EQ(V45,V$4:V$200)</f>
        <v>33</v>
      </c>
      <c r="AA45" s="2">
        <f t="shared" si="49"/>
        <v>26</v>
      </c>
      <c r="AB45" s="2">
        <f t="shared" si="49"/>
        <v>53</v>
      </c>
      <c r="AC45" s="2">
        <f t="shared" si="49"/>
        <v>47</v>
      </c>
      <c r="AD45" s="10">
        <f t="shared" si="2"/>
        <v>67</v>
      </c>
      <c r="AE45" s="2">
        <v>507</v>
      </c>
      <c r="AF45" s="10">
        <f t="shared" si="3"/>
        <v>75</v>
      </c>
      <c r="AG45" s="2">
        <v>120</v>
      </c>
      <c r="AH45" s="2"/>
      <c r="AI45" s="41">
        <f t="shared" si="40"/>
        <v>214.5</v>
      </c>
      <c r="AJ45" s="10">
        <f t="shared" si="5"/>
        <v>0</v>
      </c>
      <c r="AK45" s="10">
        <f t="shared" si="6"/>
        <v>0</v>
      </c>
    </row>
    <row r="46" spans="1:37">
      <c r="A46" s="3">
        <v>10356</v>
      </c>
      <c r="B46" s="2" t="s">
        <v>108</v>
      </c>
      <c r="C46" s="3"/>
      <c r="D46" s="3" t="s">
        <v>46</v>
      </c>
      <c r="E46" s="3" t="s">
        <v>46</v>
      </c>
      <c r="F46" s="3"/>
      <c r="G46" s="3" t="s">
        <v>106</v>
      </c>
      <c r="H46" s="3"/>
      <c r="I46" s="3" t="s">
        <v>54</v>
      </c>
      <c r="J46" s="3" t="s">
        <v>49</v>
      </c>
      <c r="K46" s="4"/>
      <c r="L46" s="3"/>
      <c r="M46" s="4"/>
      <c r="N46" s="2">
        <v>5</v>
      </c>
      <c r="O46" s="5" t="s">
        <v>50</v>
      </c>
      <c r="P46" s="25">
        <v>399</v>
      </c>
      <c r="Q46" s="26">
        <f t="shared" si="0"/>
        <v>399</v>
      </c>
      <c r="R46" s="27">
        <v>1.5</v>
      </c>
      <c r="S46" s="2"/>
      <c r="T46" s="2">
        <v>102</v>
      </c>
      <c r="U46" s="2"/>
      <c r="V46" s="10">
        <v>122657</v>
      </c>
      <c r="W46" s="10">
        <v>139397</v>
      </c>
      <c r="X46" s="10">
        <v>117</v>
      </c>
      <c r="Y46" s="10">
        <v>133</v>
      </c>
      <c r="Z46" s="2">
        <f t="shared" ref="Z46:AC46" si="50">_xlfn.RANK.EQ(V46,V$4:V$200)</f>
        <v>25</v>
      </c>
      <c r="AA46" s="2">
        <f t="shared" si="50"/>
        <v>28</v>
      </c>
      <c r="AB46" s="2">
        <f t="shared" si="50"/>
        <v>22</v>
      </c>
      <c r="AC46" s="2">
        <f t="shared" si="50"/>
        <v>23</v>
      </c>
      <c r="AD46" s="10">
        <f t="shared" si="2"/>
        <v>125</v>
      </c>
      <c r="AE46" s="2">
        <v>83</v>
      </c>
      <c r="AF46" s="10">
        <f t="shared" si="3"/>
        <v>133</v>
      </c>
      <c r="AG46" s="2">
        <v>450</v>
      </c>
      <c r="AH46" s="2"/>
      <c r="AI46" s="41">
        <f t="shared" si="40"/>
        <v>301.5</v>
      </c>
      <c r="AJ46" s="10">
        <f t="shared" si="5"/>
        <v>0</v>
      </c>
      <c r="AK46" s="10">
        <f t="shared" si="6"/>
        <v>0</v>
      </c>
    </row>
    <row r="47" spans="1:37" ht="15.75" customHeight="1">
      <c r="A47" s="3">
        <v>10357</v>
      </c>
      <c r="B47" s="2" t="s">
        <v>109</v>
      </c>
      <c r="C47" s="3"/>
      <c r="D47" s="3" t="s">
        <v>46</v>
      </c>
      <c r="E47" s="3" t="s">
        <v>46</v>
      </c>
      <c r="F47" s="3"/>
      <c r="G47" s="3" t="s">
        <v>75</v>
      </c>
      <c r="H47" s="3" t="s">
        <v>110</v>
      </c>
      <c r="I47" s="3" t="s">
        <v>48</v>
      </c>
      <c r="J47" s="3" t="s">
        <v>49</v>
      </c>
      <c r="K47" s="4"/>
      <c r="L47" s="29" t="s">
        <v>55</v>
      </c>
      <c r="M47" s="30">
        <v>6000</v>
      </c>
      <c r="N47" s="31">
        <v>5</v>
      </c>
      <c r="O47" s="5" t="s">
        <v>55</v>
      </c>
      <c r="P47" s="25">
        <v>33</v>
      </c>
      <c r="Q47" s="26">
        <f t="shared" si="0"/>
        <v>1039.5</v>
      </c>
      <c r="R47" s="27">
        <v>1.5</v>
      </c>
      <c r="S47" s="2"/>
      <c r="T47" s="2">
        <v>51</v>
      </c>
      <c r="U47" s="2"/>
      <c r="V47" s="10">
        <v>15960</v>
      </c>
      <c r="W47" s="10">
        <v>28648</v>
      </c>
      <c r="X47" s="10">
        <v>10</v>
      </c>
      <c r="Y47" s="10">
        <v>18</v>
      </c>
      <c r="Z47" s="2">
        <f t="shared" ref="Z47:AC47" si="51">_xlfn.RANK.EQ(V47,V$4:V$200)</f>
        <v>150</v>
      </c>
      <c r="AA47" s="2">
        <f t="shared" si="51"/>
        <v>145</v>
      </c>
      <c r="AB47" s="2">
        <f t="shared" si="51"/>
        <v>148</v>
      </c>
      <c r="AC47" s="2">
        <f t="shared" si="51"/>
        <v>142</v>
      </c>
      <c r="AD47" s="10">
        <f t="shared" si="2"/>
        <v>14</v>
      </c>
      <c r="AE47" s="2">
        <v>152</v>
      </c>
      <c r="AF47" s="10">
        <f t="shared" si="3"/>
        <v>18</v>
      </c>
      <c r="AG47" s="2"/>
      <c r="AH47" s="2"/>
      <c r="AI47" s="41">
        <f t="shared" si="40"/>
        <v>78</v>
      </c>
      <c r="AJ47" s="10">
        <f t="shared" si="5"/>
        <v>0</v>
      </c>
      <c r="AK47" s="10">
        <f t="shared" si="6"/>
        <v>0</v>
      </c>
    </row>
    <row r="48" spans="1:37" ht="15.75" customHeight="1">
      <c r="A48" s="3">
        <v>10196</v>
      </c>
      <c r="B48" s="2" t="s">
        <v>111</v>
      </c>
      <c r="C48" s="3" t="s">
        <v>46</v>
      </c>
      <c r="D48" s="3" t="s">
        <v>46</v>
      </c>
      <c r="E48" s="3" t="s">
        <v>60</v>
      </c>
      <c r="F48" s="3" t="s">
        <v>61</v>
      </c>
      <c r="G48" s="3" t="s">
        <v>75</v>
      </c>
      <c r="H48" s="3" t="s">
        <v>110</v>
      </c>
      <c r="I48" s="3" t="s">
        <v>48</v>
      </c>
      <c r="J48" s="3" t="s">
        <v>49</v>
      </c>
      <c r="K48" s="4"/>
      <c r="L48" s="29" t="s">
        <v>55</v>
      </c>
      <c r="M48" s="30">
        <v>6000</v>
      </c>
      <c r="N48" s="2">
        <v>54</v>
      </c>
      <c r="O48" s="5" t="s">
        <v>55</v>
      </c>
      <c r="P48" s="25">
        <v>23.52</v>
      </c>
      <c r="Q48" s="26">
        <f t="shared" si="0"/>
        <v>740.88</v>
      </c>
      <c r="R48" s="27">
        <v>1.5</v>
      </c>
      <c r="S48" s="2"/>
      <c r="T48" s="2">
        <v>51</v>
      </c>
      <c r="U48" s="2"/>
      <c r="V48" s="10">
        <v>14197</v>
      </c>
      <c r="W48" s="10">
        <v>22171</v>
      </c>
      <c r="X48" s="10">
        <v>12</v>
      </c>
      <c r="Y48" s="10">
        <v>19</v>
      </c>
      <c r="Z48" s="2">
        <f t="shared" ref="Z48:AC48" si="52">_xlfn.RANK.EQ(V48,V$4:V$200)</f>
        <v>153</v>
      </c>
      <c r="AA48" s="2">
        <f t="shared" si="52"/>
        <v>160</v>
      </c>
      <c r="AB48" s="2">
        <f t="shared" si="52"/>
        <v>140</v>
      </c>
      <c r="AC48" s="2">
        <f t="shared" si="52"/>
        <v>135</v>
      </c>
      <c r="AD48" s="10">
        <f t="shared" si="2"/>
        <v>15.5</v>
      </c>
      <c r="AE48" s="2">
        <v>103</v>
      </c>
      <c r="AF48" s="10">
        <f t="shared" si="3"/>
        <v>19</v>
      </c>
      <c r="AG48" s="2"/>
      <c r="AH48" s="2"/>
      <c r="AI48" s="41">
        <f t="shared" si="40"/>
        <v>79.5</v>
      </c>
      <c r="AJ48" s="10">
        <f t="shared" si="5"/>
        <v>0</v>
      </c>
      <c r="AK48" s="10">
        <f t="shared" si="6"/>
        <v>0</v>
      </c>
    </row>
    <row r="49" spans="1:37">
      <c r="A49" s="3">
        <v>10257</v>
      </c>
      <c r="B49" s="2" t="s">
        <v>112</v>
      </c>
      <c r="C49" s="3" t="s">
        <v>46</v>
      </c>
      <c r="D49" s="3" t="s">
        <v>46</v>
      </c>
      <c r="E49" s="3" t="s">
        <v>60</v>
      </c>
      <c r="F49" s="3" t="s">
        <v>61</v>
      </c>
      <c r="G49" s="3" t="s">
        <v>113</v>
      </c>
      <c r="H49" s="3"/>
      <c r="I49" s="3" t="s">
        <v>114</v>
      </c>
      <c r="J49" s="3" t="s">
        <v>115</v>
      </c>
      <c r="K49" s="4"/>
      <c r="L49" s="3"/>
      <c r="M49" s="4"/>
      <c r="N49" s="2">
        <v>5</v>
      </c>
      <c r="O49" s="5" t="s">
        <v>50</v>
      </c>
      <c r="P49" s="25">
        <v>676</v>
      </c>
      <c r="Q49" s="26">
        <f t="shared" si="0"/>
        <v>676</v>
      </c>
      <c r="R49" s="27">
        <v>1.5</v>
      </c>
      <c r="S49" s="2"/>
      <c r="T49" s="2">
        <v>51</v>
      </c>
      <c r="U49" s="2"/>
      <c r="V49" s="10">
        <v>17995</v>
      </c>
      <c r="W49" s="10">
        <v>32276</v>
      </c>
      <c r="X49" s="10">
        <v>14</v>
      </c>
      <c r="Y49" s="10">
        <v>25</v>
      </c>
      <c r="Z49" s="2">
        <f t="shared" ref="Z49:AC49" si="53">_xlfn.RANK.EQ(V49,V$4:V$200)</f>
        <v>145</v>
      </c>
      <c r="AA49" s="2">
        <f t="shared" si="53"/>
        <v>136</v>
      </c>
      <c r="AB49" s="2">
        <f t="shared" si="53"/>
        <v>132</v>
      </c>
      <c r="AC49" s="2">
        <f t="shared" si="53"/>
        <v>116</v>
      </c>
      <c r="AD49" s="10">
        <f t="shared" si="2"/>
        <v>19.5</v>
      </c>
      <c r="AE49" s="2">
        <v>49</v>
      </c>
      <c r="AF49" s="10">
        <f t="shared" si="3"/>
        <v>25</v>
      </c>
      <c r="AG49" s="2"/>
      <c r="AH49" s="2">
        <v>0</v>
      </c>
      <c r="AI49" s="41">
        <f t="shared" si="40"/>
        <v>88.5</v>
      </c>
      <c r="AJ49" s="10">
        <f t="shared" si="5"/>
        <v>0</v>
      </c>
      <c r="AK49" s="10">
        <f t="shared" si="6"/>
        <v>0</v>
      </c>
    </row>
    <row r="50" spans="1:37">
      <c r="A50" s="3">
        <v>10258</v>
      </c>
      <c r="B50" s="2" t="s">
        <v>116</v>
      </c>
      <c r="C50" s="3" t="s">
        <v>46</v>
      </c>
      <c r="D50" s="3" t="s">
        <v>46</v>
      </c>
      <c r="E50" s="3" t="s">
        <v>46</v>
      </c>
      <c r="F50" s="3"/>
      <c r="G50" s="3" t="s">
        <v>113</v>
      </c>
      <c r="H50" s="3"/>
      <c r="I50" s="3" t="s">
        <v>114</v>
      </c>
      <c r="J50" s="3" t="s">
        <v>115</v>
      </c>
      <c r="K50" s="4"/>
      <c r="L50" s="3"/>
      <c r="M50" s="4"/>
      <c r="N50" s="2">
        <v>5</v>
      </c>
      <c r="O50" s="5" t="s">
        <v>50</v>
      </c>
      <c r="P50" s="25">
        <v>494</v>
      </c>
      <c r="Q50" s="26">
        <f t="shared" si="0"/>
        <v>494</v>
      </c>
      <c r="R50" s="27">
        <v>1.5</v>
      </c>
      <c r="S50" s="2"/>
      <c r="T50" s="2">
        <v>102</v>
      </c>
      <c r="U50" s="2"/>
      <c r="V50" s="10">
        <v>57409</v>
      </c>
      <c r="W50" s="10">
        <v>69990</v>
      </c>
      <c r="X50" s="10">
        <v>61</v>
      </c>
      <c r="Y50" s="10">
        <v>74</v>
      </c>
      <c r="Z50" s="2">
        <f t="shared" ref="Z50:AC50" si="54">_xlfn.RANK.EQ(V50,V$4:V$200)</f>
        <v>79</v>
      </c>
      <c r="AA50" s="2">
        <f t="shared" si="54"/>
        <v>80</v>
      </c>
      <c r="AB50" s="2">
        <f t="shared" si="54"/>
        <v>50</v>
      </c>
      <c r="AC50" s="2">
        <f t="shared" si="54"/>
        <v>48</v>
      </c>
      <c r="AD50" s="10">
        <f t="shared" si="2"/>
        <v>67.5</v>
      </c>
      <c r="AE50" s="2">
        <v>183</v>
      </c>
      <c r="AF50" s="10">
        <f t="shared" si="3"/>
        <v>74</v>
      </c>
      <c r="AG50" s="2"/>
      <c r="AH50" s="2">
        <v>0</v>
      </c>
      <c r="AI50" s="41">
        <f t="shared" si="40"/>
        <v>213</v>
      </c>
      <c r="AJ50" s="10">
        <f t="shared" si="5"/>
        <v>105</v>
      </c>
      <c r="AK50" s="10">
        <f t="shared" si="6"/>
        <v>51870</v>
      </c>
    </row>
    <row r="51" spans="1:37">
      <c r="A51" s="3">
        <v>10503</v>
      </c>
      <c r="B51" s="2" t="s">
        <v>117</v>
      </c>
      <c r="C51" s="3"/>
      <c r="D51" s="3" t="s">
        <v>46</v>
      </c>
      <c r="E51" s="3" t="s">
        <v>46</v>
      </c>
      <c r="F51" s="3"/>
      <c r="G51" s="3" t="s">
        <v>118</v>
      </c>
      <c r="H51" s="3"/>
      <c r="I51" s="3" t="s">
        <v>119</v>
      </c>
      <c r="J51" s="3" t="s">
        <v>49</v>
      </c>
      <c r="K51" s="4"/>
      <c r="L51" s="3"/>
      <c r="M51" s="4"/>
      <c r="N51" s="2">
        <v>5</v>
      </c>
      <c r="O51" s="5" t="s">
        <v>120</v>
      </c>
      <c r="P51" s="25">
        <v>8.07</v>
      </c>
      <c r="Q51" s="26">
        <f t="shared" si="0"/>
        <v>298.59000000000003</v>
      </c>
      <c r="R51" s="27">
        <v>1.5</v>
      </c>
      <c r="S51" s="2"/>
      <c r="T51" s="2">
        <v>102</v>
      </c>
      <c r="U51" s="2"/>
      <c r="V51" s="10">
        <v>58409</v>
      </c>
      <c r="W51" s="10">
        <v>75040</v>
      </c>
      <c r="X51" s="10">
        <v>87</v>
      </c>
      <c r="Y51" s="10">
        <v>112</v>
      </c>
      <c r="Z51" s="2">
        <f t="shared" ref="Z51:AC51" si="55">_xlfn.RANK.EQ(V51,V$4:V$200)</f>
        <v>76</v>
      </c>
      <c r="AA51" s="2">
        <f t="shared" si="55"/>
        <v>74</v>
      </c>
      <c r="AB51" s="2">
        <f t="shared" si="55"/>
        <v>31</v>
      </c>
      <c r="AC51" s="2">
        <f t="shared" si="55"/>
        <v>29</v>
      </c>
      <c r="AD51" s="10">
        <f t="shared" si="2"/>
        <v>99.5</v>
      </c>
      <c r="AE51" s="2">
        <v>213</v>
      </c>
      <c r="AF51" s="10">
        <f t="shared" si="3"/>
        <v>112</v>
      </c>
      <c r="AG51" s="2">
        <v>250</v>
      </c>
      <c r="AH51" s="2"/>
      <c r="AI51" s="41">
        <f t="shared" si="40"/>
        <v>270</v>
      </c>
      <c r="AJ51" s="10">
        <f t="shared" si="5"/>
        <v>0</v>
      </c>
      <c r="AK51" s="10">
        <f t="shared" si="6"/>
        <v>0</v>
      </c>
    </row>
    <row r="52" spans="1:37">
      <c r="A52" s="3">
        <v>10502</v>
      </c>
      <c r="B52" s="2" t="s">
        <v>121</v>
      </c>
      <c r="C52" s="3"/>
      <c r="D52" s="3" t="s">
        <v>46</v>
      </c>
      <c r="E52" s="3" t="s">
        <v>46</v>
      </c>
      <c r="F52" s="3"/>
      <c r="G52" s="3" t="s">
        <v>118</v>
      </c>
      <c r="H52" s="3"/>
      <c r="I52" s="3" t="s">
        <v>119</v>
      </c>
      <c r="J52" s="3" t="s">
        <v>49</v>
      </c>
      <c r="K52" s="4"/>
      <c r="L52" s="3"/>
      <c r="M52" s="4"/>
      <c r="N52" s="2">
        <v>5</v>
      </c>
      <c r="O52" s="5" t="s">
        <v>120</v>
      </c>
      <c r="P52" s="25">
        <v>8.6</v>
      </c>
      <c r="Q52" s="26">
        <f t="shared" si="0"/>
        <v>318.2</v>
      </c>
      <c r="R52" s="27">
        <v>1.5</v>
      </c>
      <c r="S52" s="2"/>
      <c r="T52" s="2">
        <v>102</v>
      </c>
      <c r="U52" s="2"/>
      <c r="V52" s="10">
        <v>25704</v>
      </c>
      <c r="W52" s="10">
        <v>32910</v>
      </c>
      <c r="X52" s="10">
        <v>36</v>
      </c>
      <c r="Y52" s="10">
        <v>46</v>
      </c>
      <c r="Z52" s="2">
        <f t="shared" ref="Z52:AC52" si="56">_xlfn.RANK.EQ(V52,V$4:V$200)</f>
        <v>129</v>
      </c>
      <c r="AA52" s="2">
        <f t="shared" si="56"/>
        <v>134</v>
      </c>
      <c r="AB52" s="2">
        <f t="shared" si="56"/>
        <v>85</v>
      </c>
      <c r="AC52" s="2">
        <f t="shared" si="56"/>
        <v>81</v>
      </c>
      <c r="AD52" s="10">
        <f t="shared" si="2"/>
        <v>41</v>
      </c>
      <c r="AE52" s="2">
        <v>264</v>
      </c>
      <c r="AF52" s="10">
        <f t="shared" si="3"/>
        <v>46</v>
      </c>
      <c r="AG52" s="2"/>
      <c r="AH52" s="2"/>
      <c r="AI52" s="41">
        <f t="shared" si="40"/>
        <v>171</v>
      </c>
      <c r="AJ52" s="10">
        <f t="shared" si="5"/>
        <v>0</v>
      </c>
      <c r="AK52" s="10">
        <f t="shared" si="6"/>
        <v>0</v>
      </c>
    </row>
    <row r="53" spans="1:37">
      <c r="A53" s="3">
        <v>10360</v>
      </c>
      <c r="B53" s="2" t="s">
        <v>122</v>
      </c>
      <c r="C53" s="3" t="s">
        <v>46</v>
      </c>
      <c r="D53" s="3" t="s">
        <v>46</v>
      </c>
      <c r="E53" s="3" t="s">
        <v>46</v>
      </c>
      <c r="F53" s="3"/>
      <c r="G53" s="3" t="s">
        <v>118</v>
      </c>
      <c r="H53" s="3"/>
      <c r="I53" s="3" t="s">
        <v>119</v>
      </c>
      <c r="J53" s="3" t="s">
        <v>49</v>
      </c>
      <c r="K53" s="4"/>
      <c r="L53" s="3"/>
      <c r="M53" s="4"/>
      <c r="N53" s="2">
        <v>5</v>
      </c>
      <c r="O53" s="5" t="s">
        <v>120</v>
      </c>
      <c r="P53" s="25">
        <v>7.32</v>
      </c>
      <c r="Q53" s="26">
        <f t="shared" si="0"/>
        <v>270.84000000000003</v>
      </c>
      <c r="R53" s="27">
        <v>1.5</v>
      </c>
      <c r="S53" s="2"/>
      <c r="T53" s="2">
        <v>153</v>
      </c>
      <c r="U53" s="2"/>
      <c r="V53" s="10">
        <v>46868</v>
      </c>
      <c r="W53" s="10">
        <v>54690</v>
      </c>
      <c r="X53" s="10">
        <v>77</v>
      </c>
      <c r="Y53" s="10">
        <v>90</v>
      </c>
      <c r="Z53" s="2">
        <f t="shared" ref="Z53:AC53" si="57">_xlfn.RANK.EQ(V53,V$4:V$200)</f>
        <v>99</v>
      </c>
      <c r="AA53" s="2">
        <f t="shared" si="57"/>
        <v>98</v>
      </c>
      <c r="AB53" s="2">
        <f t="shared" si="57"/>
        <v>36</v>
      </c>
      <c r="AC53" s="2">
        <f t="shared" si="57"/>
        <v>38</v>
      </c>
      <c r="AD53" s="10">
        <f t="shared" si="2"/>
        <v>83.5</v>
      </c>
      <c r="AE53" s="2">
        <v>363</v>
      </c>
      <c r="AF53" s="10">
        <f t="shared" si="3"/>
        <v>90</v>
      </c>
      <c r="AG53" s="2"/>
      <c r="AH53" s="2"/>
      <c r="AI53" s="41">
        <f t="shared" si="40"/>
        <v>288</v>
      </c>
      <c r="AJ53" s="10">
        <f t="shared" si="5"/>
        <v>15</v>
      </c>
      <c r="AK53" s="10">
        <f t="shared" si="6"/>
        <v>4062.6000000000004</v>
      </c>
    </row>
    <row r="54" spans="1:37">
      <c r="A54" s="3">
        <v>10167</v>
      </c>
      <c r="B54" s="2" t="s">
        <v>123</v>
      </c>
      <c r="C54" s="3" t="s">
        <v>46</v>
      </c>
      <c r="D54" s="3" t="s">
        <v>46</v>
      </c>
      <c r="E54" s="3" t="s">
        <v>46</v>
      </c>
      <c r="F54" s="3"/>
      <c r="G54" s="3" t="s">
        <v>118</v>
      </c>
      <c r="H54" s="3"/>
      <c r="I54" s="3" t="s">
        <v>119</v>
      </c>
      <c r="J54" s="3" t="s">
        <v>49</v>
      </c>
      <c r="K54" s="4"/>
      <c r="L54" s="3"/>
      <c r="M54" s="4"/>
      <c r="N54" s="2">
        <v>5</v>
      </c>
      <c r="O54" s="5" t="s">
        <v>120</v>
      </c>
      <c r="P54" s="25">
        <v>7.17</v>
      </c>
      <c r="Q54" s="26">
        <f t="shared" si="0"/>
        <v>265.29000000000002</v>
      </c>
      <c r="R54" s="27">
        <v>1.5</v>
      </c>
      <c r="S54" s="2"/>
      <c r="T54" s="2">
        <v>204</v>
      </c>
      <c r="U54" s="2"/>
      <c r="V54" s="10">
        <v>40923</v>
      </c>
      <c r="W54" s="10">
        <v>33054</v>
      </c>
      <c r="X54" s="10">
        <v>72</v>
      </c>
      <c r="Y54" s="10">
        <v>58</v>
      </c>
      <c r="Z54" s="2">
        <f t="shared" ref="Z54:AC54" si="58">_xlfn.RANK.EQ(V54,V$4:V$200)</f>
        <v>103</v>
      </c>
      <c r="AA54" s="2">
        <f t="shared" si="58"/>
        <v>133</v>
      </c>
      <c r="AB54" s="2">
        <f t="shared" si="58"/>
        <v>40</v>
      </c>
      <c r="AC54" s="2">
        <f t="shared" si="58"/>
        <v>62</v>
      </c>
      <c r="AD54" s="10">
        <f t="shared" si="2"/>
        <v>65</v>
      </c>
      <c r="AE54" s="2">
        <v>498</v>
      </c>
      <c r="AF54" s="10">
        <f t="shared" si="3"/>
        <v>58</v>
      </c>
      <c r="AG54" s="2"/>
      <c r="AH54" s="2"/>
      <c r="AI54" s="41">
        <f t="shared" si="40"/>
        <v>301.5</v>
      </c>
      <c r="AJ54" s="10">
        <f t="shared" si="5"/>
        <v>0</v>
      </c>
      <c r="AK54" s="10">
        <f t="shared" si="6"/>
        <v>0</v>
      </c>
    </row>
    <row r="55" spans="1:37">
      <c r="A55" s="3">
        <v>10501</v>
      </c>
      <c r="B55" s="2" t="s">
        <v>124</v>
      </c>
      <c r="C55" s="3"/>
      <c r="D55" s="3" t="s">
        <v>46</v>
      </c>
      <c r="E55" s="3" t="s">
        <v>46</v>
      </c>
      <c r="F55" s="3"/>
      <c r="G55" s="3" t="s">
        <v>52</v>
      </c>
      <c r="H55" s="3"/>
      <c r="I55" s="3" t="s">
        <v>54</v>
      </c>
      <c r="J55" s="3" t="s">
        <v>115</v>
      </c>
      <c r="K55" s="4"/>
      <c r="L55" s="3"/>
      <c r="M55" s="4"/>
      <c r="N55" s="2">
        <v>5</v>
      </c>
      <c r="O55" s="5" t="s">
        <v>50</v>
      </c>
      <c r="P55" s="25">
        <v>378</v>
      </c>
      <c r="Q55" s="26">
        <f t="shared" si="0"/>
        <v>378</v>
      </c>
      <c r="R55" s="27">
        <v>2</v>
      </c>
      <c r="S55" s="2"/>
      <c r="T55" s="2">
        <v>51</v>
      </c>
      <c r="U55" s="2"/>
      <c r="V55" s="10">
        <v>3243</v>
      </c>
      <c r="W55" s="10">
        <v>12465</v>
      </c>
      <c r="X55" s="10">
        <v>4</v>
      </c>
      <c r="Y55" s="10">
        <v>15</v>
      </c>
      <c r="Z55" s="2">
        <f t="shared" ref="Z55:AC55" si="59">_xlfn.RANK.EQ(V55,V$4:V$200)</f>
        <v>166</v>
      </c>
      <c r="AA55" s="2">
        <f t="shared" si="59"/>
        <v>179</v>
      </c>
      <c r="AB55" s="2">
        <f t="shared" si="59"/>
        <v>167</v>
      </c>
      <c r="AC55" s="2">
        <f t="shared" si="59"/>
        <v>152</v>
      </c>
      <c r="AD55" s="10">
        <f t="shared" si="2"/>
        <v>9.5</v>
      </c>
      <c r="AE55" s="2">
        <v>196</v>
      </c>
      <c r="AF55" s="10">
        <f t="shared" si="3"/>
        <v>15</v>
      </c>
      <c r="AG55" s="2"/>
      <c r="AH55" s="2">
        <v>0</v>
      </c>
      <c r="AI55" s="41">
        <f t="shared" si="40"/>
        <v>73.5</v>
      </c>
      <c r="AJ55" s="10">
        <f t="shared" si="5"/>
        <v>0</v>
      </c>
      <c r="AK55" s="10">
        <f t="shared" si="6"/>
        <v>0</v>
      </c>
    </row>
    <row r="56" spans="1:37">
      <c r="A56" s="3">
        <v>10044</v>
      </c>
      <c r="B56" s="2" t="s">
        <v>125</v>
      </c>
      <c r="C56" s="3" t="s">
        <v>46</v>
      </c>
      <c r="D56" s="3" t="s">
        <v>46</v>
      </c>
      <c r="E56" s="3" t="s">
        <v>46</v>
      </c>
      <c r="F56" s="3"/>
      <c r="G56" s="3" t="s">
        <v>75</v>
      </c>
      <c r="H56" s="3"/>
      <c r="I56" s="3" t="s">
        <v>48</v>
      </c>
      <c r="J56" s="3" t="s">
        <v>49</v>
      </c>
      <c r="K56" s="4"/>
      <c r="L56" s="3" t="s">
        <v>55</v>
      </c>
      <c r="M56" s="4">
        <v>8000</v>
      </c>
      <c r="N56" s="2">
        <v>72</v>
      </c>
      <c r="O56" s="5" t="s">
        <v>55</v>
      </c>
      <c r="P56" s="25">
        <v>20.16</v>
      </c>
      <c r="Q56" s="26">
        <f t="shared" si="0"/>
        <v>635.04</v>
      </c>
      <c r="R56" s="27">
        <v>1.5</v>
      </c>
      <c r="S56" s="2"/>
      <c r="T56" s="2">
        <v>153</v>
      </c>
      <c r="U56" s="2"/>
      <c r="V56" s="10">
        <v>111903</v>
      </c>
      <c r="W56" s="10">
        <v>119998</v>
      </c>
      <c r="X56" s="10">
        <v>119</v>
      </c>
      <c r="Y56" s="10">
        <v>128</v>
      </c>
      <c r="Z56" s="2">
        <f t="shared" ref="Z56:AC56" si="60">_xlfn.RANK.EQ(V56,V$4:V$200)</f>
        <v>34</v>
      </c>
      <c r="AA56" s="2">
        <f t="shared" si="60"/>
        <v>39</v>
      </c>
      <c r="AB56" s="2">
        <f t="shared" si="60"/>
        <v>20</v>
      </c>
      <c r="AC56" s="2">
        <f t="shared" si="60"/>
        <v>24</v>
      </c>
      <c r="AD56" s="10">
        <f t="shared" si="2"/>
        <v>123.5</v>
      </c>
      <c r="AE56" s="2">
        <v>456</v>
      </c>
      <c r="AF56" s="10">
        <f t="shared" si="3"/>
        <v>128</v>
      </c>
      <c r="AG56" s="2"/>
      <c r="AH56" s="2">
        <v>144</v>
      </c>
      <c r="AI56" s="41">
        <f t="shared" si="40"/>
        <v>345</v>
      </c>
      <c r="AJ56" s="10">
        <f t="shared" si="5"/>
        <v>0</v>
      </c>
      <c r="AK56" s="10">
        <f t="shared" si="6"/>
        <v>0</v>
      </c>
    </row>
    <row r="57" spans="1:37">
      <c r="A57" s="3">
        <v>10045</v>
      </c>
      <c r="B57" s="2" t="s">
        <v>126</v>
      </c>
      <c r="C57" s="3" t="s">
        <v>46</v>
      </c>
      <c r="D57" s="3" t="s">
        <v>46</v>
      </c>
      <c r="E57" s="3" t="s">
        <v>46</v>
      </c>
      <c r="F57" s="3"/>
      <c r="G57" s="3" t="s">
        <v>75</v>
      </c>
      <c r="H57" s="3"/>
      <c r="I57" s="3" t="s">
        <v>48</v>
      </c>
      <c r="J57" s="3" t="s">
        <v>49</v>
      </c>
      <c r="K57" s="4"/>
      <c r="L57" s="3" t="s">
        <v>55</v>
      </c>
      <c r="M57" s="4">
        <v>8000</v>
      </c>
      <c r="N57" s="2">
        <v>72</v>
      </c>
      <c r="O57" s="5" t="s">
        <v>55</v>
      </c>
      <c r="P57" s="25">
        <v>20.16</v>
      </c>
      <c r="Q57" s="26">
        <f t="shared" si="0"/>
        <v>635.04</v>
      </c>
      <c r="R57" s="27">
        <v>1.5</v>
      </c>
      <c r="S57" s="2"/>
      <c r="T57" s="2">
        <v>153</v>
      </c>
      <c r="U57" s="2"/>
      <c r="V57" s="10">
        <v>87458</v>
      </c>
      <c r="W57" s="10">
        <v>78564</v>
      </c>
      <c r="X57" s="10">
        <v>93</v>
      </c>
      <c r="Y57" s="10">
        <v>84</v>
      </c>
      <c r="Z57" s="2">
        <f t="shared" ref="Z57:AC57" si="61">_xlfn.RANK.EQ(V57,V$4:V$200)</f>
        <v>50</v>
      </c>
      <c r="AA57" s="2">
        <f t="shared" si="61"/>
        <v>68</v>
      </c>
      <c r="AB57" s="2">
        <f t="shared" si="61"/>
        <v>30</v>
      </c>
      <c r="AC57" s="2">
        <f t="shared" si="61"/>
        <v>43</v>
      </c>
      <c r="AD57" s="10">
        <f t="shared" si="2"/>
        <v>88.5</v>
      </c>
      <c r="AE57" s="2">
        <v>323</v>
      </c>
      <c r="AF57" s="10">
        <f t="shared" si="3"/>
        <v>84</v>
      </c>
      <c r="AG57" s="2"/>
      <c r="AH57" s="2">
        <v>144</v>
      </c>
      <c r="AI57" s="41">
        <f t="shared" si="40"/>
        <v>285.75</v>
      </c>
      <c r="AJ57" s="10">
        <f t="shared" si="5"/>
        <v>0</v>
      </c>
      <c r="AK57" s="10">
        <f t="shared" si="6"/>
        <v>0</v>
      </c>
    </row>
    <row r="58" spans="1:37">
      <c r="A58" s="3">
        <v>10047</v>
      </c>
      <c r="B58" s="2" t="s">
        <v>127</v>
      </c>
      <c r="C58" s="3" t="s">
        <v>46</v>
      </c>
      <c r="D58" s="3" t="s">
        <v>46</v>
      </c>
      <c r="E58" s="3" t="s">
        <v>46</v>
      </c>
      <c r="F58" s="3"/>
      <c r="G58" s="3" t="s">
        <v>75</v>
      </c>
      <c r="H58" s="3"/>
      <c r="I58" s="3" t="s">
        <v>48</v>
      </c>
      <c r="J58" s="3" t="s">
        <v>49</v>
      </c>
      <c r="K58" s="4"/>
      <c r="L58" s="3" t="s">
        <v>55</v>
      </c>
      <c r="M58" s="4">
        <v>8000</v>
      </c>
      <c r="N58" s="2">
        <v>72</v>
      </c>
      <c r="O58" s="5" t="s">
        <v>55</v>
      </c>
      <c r="P58" s="25">
        <v>15.84</v>
      </c>
      <c r="Q58" s="26">
        <f t="shared" si="0"/>
        <v>498.96</v>
      </c>
      <c r="R58" s="27">
        <v>1.5</v>
      </c>
      <c r="S58" s="2"/>
      <c r="T58" s="2">
        <v>102</v>
      </c>
      <c r="U58" s="2"/>
      <c r="V58" s="10">
        <v>54274</v>
      </c>
      <c r="W58" s="10">
        <v>43918</v>
      </c>
      <c r="X58" s="10">
        <v>73</v>
      </c>
      <c r="Y58" s="10">
        <v>59</v>
      </c>
      <c r="Z58" s="2">
        <f t="shared" ref="Z58:AC58" si="62">_xlfn.RANK.EQ(V58,V$4:V$200)</f>
        <v>84</v>
      </c>
      <c r="AA58" s="2">
        <f t="shared" si="62"/>
        <v>116</v>
      </c>
      <c r="AB58" s="2">
        <f t="shared" si="62"/>
        <v>38</v>
      </c>
      <c r="AC58" s="2">
        <f t="shared" si="62"/>
        <v>58</v>
      </c>
      <c r="AD58" s="10">
        <f t="shared" si="2"/>
        <v>66</v>
      </c>
      <c r="AE58" s="2">
        <v>167</v>
      </c>
      <c r="AF58" s="10">
        <f t="shared" si="3"/>
        <v>59</v>
      </c>
      <c r="AG58" s="2"/>
      <c r="AH58" s="2">
        <v>144</v>
      </c>
      <c r="AI58" s="41">
        <f t="shared" si="40"/>
        <v>201</v>
      </c>
      <c r="AJ58" s="10">
        <f t="shared" si="5"/>
        <v>0</v>
      </c>
      <c r="AK58" s="10">
        <f t="shared" si="6"/>
        <v>0</v>
      </c>
    </row>
    <row r="59" spans="1:37" ht="15.75" customHeight="1">
      <c r="A59" s="3">
        <v>10042</v>
      </c>
      <c r="B59" s="2" t="s">
        <v>128</v>
      </c>
      <c r="C59" s="3" t="s">
        <v>46</v>
      </c>
      <c r="D59" s="3" t="s">
        <v>46</v>
      </c>
      <c r="E59" s="3" t="s">
        <v>46</v>
      </c>
      <c r="F59" s="3"/>
      <c r="G59" s="3" t="s">
        <v>75</v>
      </c>
      <c r="H59" s="3" t="s">
        <v>110</v>
      </c>
      <c r="I59" s="3" t="s">
        <v>48</v>
      </c>
      <c r="J59" s="3" t="s">
        <v>49</v>
      </c>
      <c r="K59" s="4"/>
      <c r="L59" s="29" t="s">
        <v>55</v>
      </c>
      <c r="M59" s="30">
        <v>6000</v>
      </c>
      <c r="N59" s="2">
        <v>56</v>
      </c>
      <c r="O59" s="5" t="s">
        <v>55</v>
      </c>
      <c r="P59" s="25">
        <v>18.72</v>
      </c>
      <c r="Q59" s="26">
        <f t="shared" si="0"/>
        <v>589.67999999999995</v>
      </c>
      <c r="R59" s="27">
        <v>1.5</v>
      </c>
      <c r="S59" s="2"/>
      <c r="T59" s="2">
        <v>51</v>
      </c>
      <c r="U59" s="2"/>
      <c r="V59" s="10">
        <v>90416</v>
      </c>
      <c r="W59" s="10">
        <v>77325</v>
      </c>
      <c r="X59" s="10">
        <v>96</v>
      </c>
      <c r="Y59" s="10">
        <v>82</v>
      </c>
      <c r="Z59" s="2">
        <f t="shared" ref="Z59:AC59" si="63">_xlfn.RANK.EQ(V59,V$4:V$200)</f>
        <v>48</v>
      </c>
      <c r="AA59" s="2">
        <f t="shared" si="63"/>
        <v>69</v>
      </c>
      <c r="AB59" s="2">
        <f t="shared" si="63"/>
        <v>28</v>
      </c>
      <c r="AC59" s="2">
        <f t="shared" si="63"/>
        <v>44</v>
      </c>
      <c r="AD59" s="10">
        <f t="shared" si="2"/>
        <v>89</v>
      </c>
      <c r="AE59" s="2">
        <v>150</v>
      </c>
      <c r="AF59" s="10">
        <f t="shared" si="3"/>
        <v>82</v>
      </c>
      <c r="AG59" s="2"/>
      <c r="AH59" s="2">
        <v>180</v>
      </c>
      <c r="AI59" s="41">
        <f t="shared" si="40"/>
        <v>184.5</v>
      </c>
      <c r="AJ59" s="10">
        <f t="shared" si="5"/>
        <v>0</v>
      </c>
      <c r="AK59" s="10">
        <f t="shared" si="6"/>
        <v>0</v>
      </c>
    </row>
    <row r="60" spans="1:37">
      <c r="A60" s="3">
        <v>10336</v>
      </c>
      <c r="B60" s="2" t="s">
        <v>129</v>
      </c>
      <c r="C60" s="3" t="s">
        <v>46</v>
      </c>
      <c r="D60" s="3" t="s">
        <v>46</v>
      </c>
      <c r="E60" s="3" t="s">
        <v>46</v>
      </c>
      <c r="F60" s="3"/>
      <c r="G60" s="3" t="s">
        <v>130</v>
      </c>
      <c r="H60" s="3"/>
      <c r="I60" s="3" t="s">
        <v>119</v>
      </c>
      <c r="J60" s="3" t="s">
        <v>49</v>
      </c>
      <c r="K60" s="4"/>
      <c r="L60" s="3"/>
      <c r="M60" s="4"/>
      <c r="N60" s="2">
        <v>5</v>
      </c>
      <c r="O60" s="5" t="s">
        <v>55</v>
      </c>
      <c r="P60" s="25">
        <v>13.5</v>
      </c>
      <c r="Q60" s="26">
        <f t="shared" si="0"/>
        <v>425.25</v>
      </c>
      <c r="R60" s="27">
        <v>1.5</v>
      </c>
      <c r="S60" s="2"/>
      <c r="T60" s="2">
        <v>51</v>
      </c>
      <c r="U60" s="2"/>
      <c r="V60" s="10">
        <v>51077</v>
      </c>
      <c r="W60" s="10">
        <v>53398</v>
      </c>
      <c r="X60" s="10">
        <v>69</v>
      </c>
      <c r="Y60" s="10">
        <v>72</v>
      </c>
      <c r="Z60" s="2">
        <f t="shared" ref="Z60:AC60" si="64">_xlfn.RANK.EQ(V60,V$4:V$200)</f>
        <v>91</v>
      </c>
      <c r="AA60" s="2">
        <f t="shared" si="64"/>
        <v>99</v>
      </c>
      <c r="AB60" s="2">
        <f t="shared" si="64"/>
        <v>46</v>
      </c>
      <c r="AC60" s="2">
        <f t="shared" si="64"/>
        <v>49</v>
      </c>
      <c r="AD60" s="10">
        <f t="shared" si="2"/>
        <v>70.5</v>
      </c>
      <c r="AE60" s="2">
        <v>200</v>
      </c>
      <c r="AF60" s="10">
        <f t="shared" si="3"/>
        <v>72</v>
      </c>
      <c r="AG60" s="2"/>
      <c r="AH60" s="2"/>
      <c r="AI60" s="41">
        <f t="shared" si="40"/>
        <v>159</v>
      </c>
      <c r="AJ60" s="10">
        <f t="shared" si="5"/>
        <v>35</v>
      </c>
      <c r="AK60" s="10">
        <f t="shared" si="6"/>
        <v>14883.75</v>
      </c>
    </row>
    <row r="61" spans="1:37">
      <c r="A61" s="3">
        <v>10067</v>
      </c>
      <c r="B61" s="2" t="s">
        <v>131</v>
      </c>
      <c r="C61" s="3" t="s">
        <v>46</v>
      </c>
      <c r="D61" s="3" t="s">
        <v>46</v>
      </c>
      <c r="E61" s="3" t="s">
        <v>60</v>
      </c>
      <c r="F61" s="3" t="s">
        <v>61</v>
      </c>
      <c r="G61" s="3" t="s">
        <v>130</v>
      </c>
      <c r="H61" s="3"/>
      <c r="I61" s="3" t="s">
        <v>119</v>
      </c>
      <c r="J61" s="3" t="s">
        <v>49</v>
      </c>
      <c r="K61" s="4"/>
      <c r="L61" s="3"/>
      <c r="M61" s="4"/>
      <c r="N61" s="2">
        <v>5</v>
      </c>
      <c r="O61" s="5" t="s">
        <v>55</v>
      </c>
      <c r="P61" s="25">
        <v>40.049999999999997</v>
      </c>
      <c r="Q61" s="26">
        <f t="shared" si="0"/>
        <v>1261.5749999999998</v>
      </c>
      <c r="R61" s="27">
        <v>1.5</v>
      </c>
      <c r="S61" s="2"/>
      <c r="T61" s="2">
        <v>51</v>
      </c>
      <c r="U61" s="2"/>
      <c r="V61" s="10">
        <v>8512</v>
      </c>
      <c r="W61" s="10">
        <v>17024</v>
      </c>
      <c r="X61" s="10">
        <v>4</v>
      </c>
      <c r="Y61" s="10">
        <v>8</v>
      </c>
      <c r="Z61" s="2">
        <f t="shared" ref="Z61:AC61" si="65">_xlfn.RANK.EQ(V61,V$4:V$200)</f>
        <v>161</v>
      </c>
      <c r="AA61" s="2">
        <f t="shared" si="65"/>
        <v>168</v>
      </c>
      <c r="AB61" s="2">
        <f t="shared" si="65"/>
        <v>167</v>
      </c>
      <c r="AC61" s="2">
        <f t="shared" si="65"/>
        <v>182</v>
      </c>
      <c r="AD61" s="10">
        <f t="shared" si="2"/>
        <v>6</v>
      </c>
      <c r="AE61" s="2">
        <v>98</v>
      </c>
      <c r="AF61" s="10">
        <f t="shared" si="3"/>
        <v>8</v>
      </c>
      <c r="AG61" s="2"/>
      <c r="AH61" s="2"/>
      <c r="AI61" s="41">
        <f t="shared" si="40"/>
        <v>63</v>
      </c>
      <c r="AJ61" s="10">
        <f t="shared" si="5"/>
        <v>0</v>
      </c>
      <c r="AK61" s="10">
        <f t="shared" si="6"/>
        <v>0</v>
      </c>
    </row>
    <row r="62" spans="1:37">
      <c r="A62" s="3">
        <v>10069</v>
      </c>
      <c r="B62" s="2" t="s">
        <v>132</v>
      </c>
      <c r="C62" s="3" t="s">
        <v>46</v>
      </c>
      <c r="D62" s="3" t="s">
        <v>46</v>
      </c>
      <c r="E62" s="3" t="s">
        <v>60</v>
      </c>
      <c r="F62" s="3" t="s">
        <v>61</v>
      </c>
      <c r="G62" s="3" t="s">
        <v>130</v>
      </c>
      <c r="H62" s="3"/>
      <c r="I62" s="3" t="s">
        <v>119</v>
      </c>
      <c r="J62" s="3" t="s">
        <v>49</v>
      </c>
      <c r="K62" s="4"/>
      <c r="L62" s="3"/>
      <c r="M62" s="4"/>
      <c r="N62" s="2">
        <v>5</v>
      </c>
      <c r="O62" s="5" t="s">
        <v>55</v>
      </c>
      <c r="P62" s="25">
        <v>12.15</v>
      </c>
      <c r="Q62" s="26">
        <f t="shared" si="0"/>
        <v>382.72500000000002</v>
      </c>
      <c r="R62" s="27">
        <v>1.5</v>
      </c>
      <c r="S62" s="2"/>
      <c r="T62" s="2">
        <v>51</v>
      </c>
      <c r="U62" s="2"/>
      <c r="V62" s="10">
        <v>21259</v>
      </c>
      <c r="W62" s="10">
        <v>30482</v>
      </c>
      <c r="X62" s="10">
        <v>32</v>
      </c>
      <c r="Y62" s="10">
        <v>46</v>
      </c>
      <c r="Z62" s="2">
        <f t="shared" ref="Z62:AC62" si="66">_xlfn.RANK.EQ(V62,V$4:V$200)</f>
        <v>140</v>
      </c>
      <c r="AA62" s="2">
        <f t="shared" si="66"/>
        <v>138</v>
      </c>
      <c r="AB62" s="2">
        <f t="shared" si="66"/>
        <v>95</v>
      </c>
      <c r="AC62" s="2">
        <f t="shared" si="66"/>
        <v>81</v>
      </c>
      <c r="AD62" s="10">
        <f t="shared" si="2"/>
        <v>39</v>
      </c>
      <c r="AE62" s="2">
        <v>106</v>
      </c>
      <c r="AF62" s="10">
        <f t="shared" si="3"/>
        <v>46</v>
      </c>
      <c r="AG62" s="2"/>
      <c r="AH62" s="2"/>
      <c r="AI62" s="41">
        <f t="shared" si="40"/>
        <v>120</v>
      </c>
      <c r="AJ62" s="10">
        <f t="shared" si="5"/>
        <v>0</v>
      </c>
      <c r="AK62" s="10">
        <f t="shared" si="6"/>
        <v>0</v>
      </c>
    </row>
    <row r="63" spans="1:37">
      <c r="A63" s="3">
        <v>10291</v>
      </c>
      <c r="B63" s="2" t="s">
        <v>133</v>
      </c>
      <c r="C63" s="3" t="s">
        <v>46</v>
      </c>
      <c r="D63" s="3" t="s">
        <v>46</v>
      </c>
      <c r="E63" s="3" t="s">
        <v>60</v>
      </c>
      <c r="F63" s="3" t="s">
        <v>61</v>
      </c>
      <c r="G63" s="3" t="s">
        <v>75</v>
      </c>
      <c r="H63" s="3"/>
      <c r="I63" s="3" t="s">
        <v>48</v>
      </c>
      <c r="J63" s="3" t="s">
        <v>49</v>
      </c>
      <c r="K63" s="4"/>
      <c r="L63" s="3" t="s">
        <v>55</v>
      </c>
      <c r="M63" s="4">
        <v>3000</v>
      </c>
      <c r="N63" s="2">
        <v>6</v>
      </c>
      <c r="O63" s="5" t="s">
        <v>55</v>
      </c>
      <c r="P63" s="25">
        <v>22.56</v>
      </c>
      <c r="Q63" s="26">
        <f t="shared" si="0"/>
        <v>710.64</v>
      </c>
      <c r="R63" s="27">
        <v>1.5</v>
      </c>
      <c r="S63" s="2"/>
      <c r="T63" s="2">
        <v>51</v>
      </c>
      <c r="U63" s="2"/>
      <c r="V63" s="10">
        <v>7128</v>
      </c>
      <c r="W63" s="10">
        <v>10530</v>
      </c>
      <c r="X63" s="10">
        <v>6</v>
      </c>
      <c r="Y63" s="10">
        <v>9</v>
      </c>
      <c r="Z63" s="2">
        <f t="shared" ref="Z63:AC63" si="67">_xlfn.RANK.EQ(V63,V$4:V$200)</f>
        <v>163</v>
      </c>
      <c r="AA63" s="2">
        <f t="shared" si="67"/>
        <v>184</v>
      </c>
      <c r="AB63" s="2">
        <f t="shared" si="67"/>
        <v>161</v>
      </c>
      <c r="AC63" s="2">
        <f t="shared" si="67"/>
        <v>177</v>
      </c>
      <c r="AD63" s="10">
        <f t="shared" si="2"/>
        <v>7.5</v>
      </c>
      <c r="AE63" s="2">
        <v>101</v>
      </c>
      <c r="AF63" s="10">
        <f t="shared" si="3"/>
        <v>9</v>
      </c>
      <c r="AG63" s="2"/>
      <c r="AH63" s="2"/>
      <c r="AI63" s="41">
        <f t="shared" si="40"/>
        <v>64.5</v>
      </c>
      <c r="AJ63" s="10">
        <f t="shared" si="5"/>
        <v>0</v>
      </c>
      <c r="AK63" s="10">
        <f t="shared" si="6"/>
        <v>0</v>
      </c>
    </row>
    <row r="64" spans="1:37">
      <c r="A64" s="3">
        <v>10392</v>
      </c>
      <c r="B64" s="2" t="s">
        <v>134</v>
      </c>
      <c r="C64" s="3"/>
      <c r="D64" s="3" t="s">
        <v>46</v>
      </c>
      <c r="E64" s="3" t="s">
        <v>46</v>
      </c>
      <c r="F64" s="3"/>
      <c r="G64" s="3" t="s">
        <v>135</v>
      </c>
      <c r="H64" s="3"/>
      <c r="I64" s="3" t="s">
        <v>54</v>
      </c>
      <c r="J64" s="3" t="s">
        <v>49</v>
      </c>
      <c r="K64" s="4"/>
      <c r="L64" s="3"/>
      <c r="M64" s="4"/>
      <c r="N64" s="2">
        <v>5</v>
      </c>
      <c r="O64" s="5" t="s">
        <v>50</v>
      </c>
      <c r="P64" s="25">
        <v>700</v>
      </c>
      <c r="Q64" s="26">
        <f t="shared" si="0"/>
        <v>700</v>
      </c>
      <c r="R64" s="27">
        <v>1.5</v>
      </c>
      <c r="S64" s="2"/>
      <c r="T64" s="2">
        <v>51</v>
      </c>
      <c r="U64" s="2"/>
      <c r="V64" s="10">
        <v>30780</v>
      </c>
      <c r="W64" s="10">
        <v>22701</v>
      </c>
      <c r="X64" s="10">
        <v>30</v>
      </c>
      <c r="Y64" s="10">
        <v>22</v>
      </c>
      <c r="Z64" s="2">
        <f t="shared" ref="Z64:AC64" si="68">_xlfn.RANK.EQ(V64,V$4:V$200)</f>
        <v>120</v>
      </c>
      <c r="AA64" s="2">
        <f t="shared" si="68"/>
        <v>158</v>
      </c>
      <c r="AB64" s="2">
        <f t="shared" si="68"/>
        <v>97</v>
      </c>
      <c r="AC64" s="2">
        <f t="shared" si="68"/>
        <v>124</v>
      </c>
      <c r="AD64" s="10">
        <f t="shared" si="2"/>
        <v>26</v>
      </c>
      <c r="AE64" s="2">
        <v>135</v>
      </c>
      <c r="AF64" s="10">
        <f t="shared" si="3"/>
        <v>22</v>
      </c>
      <c r="AG64" s="2"/>
      <c r="AH64" s="2"/>
      <c r="AI64" s="41">
        <f t="shared" si="40"/>
        <v>90</v>
      </c>
      <c r="AJ64" s="10">
        <f t="shared" si="5"/>
        <v>0</v>
      </c>
      <c r="AK64" s="10">
        <f t="shared" si="6"/>
        <v>0</v>
      </c>
    </row>
    <row r="65" spans="1:37">
      <c r="A65" s="3">
        <v>10391</v>
      </c>
      <c r="B65" s="2" t="s">
        <v>136</v>
      </c>
      <c r="C65" s="3"/>
      <c r="D65" s="3" t="s">
        <v>46</v>
      </c>
      <c r="E65" s="3" t="s">
        <v>46</v>
      </c>
      <c r="F65" s="3"/>
      <c r="G65" s="3" t="s">
        <v>135</v>
      </c>
      <c r="H65" s="3"/>
      <c r="I65" s="3" t="s">
        <v>54</v>
      </c>
      <c r="J65" s="3" t="s">
        <v>49</v>
      </c>
      <c r="K65" s="4"/>
      <c r="L65" s="3"/>
      <c r="M65" s="4"/>
      <c r="N65" s="2">
        <v>5</v>
      </c>
      <c r="O65" s="5" t="s">
        <v>50</v>
      </c>
      <c r="P65" s="25">
        <v>360</v>
      </c>
      <c r="Q65" s="26">
        <f t="shared" si="0"/>
        <v>360</v>
      </c>
      <c r="R65" s="27">
        <v>1.5</v>
      </c>
      <c r="S65" s="2"/>
      <c r="T65" s="2">
        <v>102</v>
      </c>
      <c r="U65" s="2"/>
      <c r="V65" s="10">
        <v>53831</v>
      </c>
      <c r="W65" s="10">
        <v>53059</v>
      </c>
      <c r="X65" s="10">
        <v>102</v>
      </c>
      <c r="Y65" s="10">
        <v>101</v>
      </c>
      <c r="Z65" s="2">
        <f t="shared" ref="Z65:AC65" si="69">_xlfn.RANK.EQ(V65,V$4:V$200)</f>
        <v>85</v>
      </c>
      <c r="AA65" s="2">
        <f t="shared" si="69"/>
        <v>100</v>
      </c>
      <c r="AB65" s="2">
        <f t="shared" si="69"/>
        <v>26</v>
      </c>
      <c r="AC65" s="2">
        <f t="shared" si="69"/>
        <v>33</v>
      </c>
      <c r="AD65" s="10">
        <f t="shared" si="2"/>
        <v>101.5</v>
      </c>
      <c r="AE65" s="2">
        <v>85</v>
      </c>
      <c r="AF65" s="10">
        <f t="shared" si="3"/>
        <v>101</v>
      </c>
      <c r="AG65" s="2">
        <v>456</v>
      </c>
      <c r="AH65" s="2"/>
      <c r="AI65" s="41">
        <f t="shared" si="40"/>
        <v>254.25</v>
      </c>
      <c r="AJ65" s="10">
        <f t="shared" si="5"/>
        <v>0</v>
      </c>
      <c r="AK65" s="10">
        <f t="shared" si="6"/>
        <v>0</v>
      </c>
    </row>
    <row r="66" spans="1:37">
      <c r="A66" s="3">
        <v>10404</v>
      </c>
      <c r="B66" s="2" t="s">
        <v>137</v>
      </c>
      <c r="C66" s="3" t="s">
        <v>46</v>
      </c>
      <c r="D66" s="3" t="s">
        <v>46</v>
      </c>
      <c r="E66" s="3" t="s">
        <v>46</v>
      </c>
      <c r="F66" s="3"/>
      <c r="G66" s="3" t="s">
        <v>138</v>
      </c>
      <c r="H66" s="3"/>
      <c r="I66" s="3" t="s">
        <v>119</v>
      </c>
      <c r="J66" s="3" t="s">
        <v>49</v>
      </c>
      <c r="K66" s="4"/>
      <c r="L66" s="3" t="s">
        <v>55</v>
      </c>
      <c r="M66" s="4">
        <v>5000</v>
      </c>
      <c r="N66" s="2">
        <v>48</v>
      </c>
      <c r="O66" s="5" t="s">
        <v>55</v>
      </c>
      <c r="P66" s="25">
        <v>14.4</v>
      </c>
      <c r="Q66" s="26">
        <f t="shared" si="0"/>
        <v>453.6</v>
      </c>
      <c r="R66" s="27">
        <v>1.5</v>
      </c>
      <c r="S66" s="2"/>
      <c r="T66" s="2">
        <v>102</v>
      </c>
      <c r="U66" s="2"/>
      <c r="V66" s="10">
        <v>33695</v>
      </c>
      <c r="W66" s="10">
        <v>54998</v>
      </c>
      <c r="X66" s="10">
        <v>39</v>
      </c>
      <c r="Y66" s="10">
        <v>64</v>
      </c>
      <c r="Z66" s="2">
        <f t="shared" ref="Z66:AC66" si="70">_xlfn.RANK.EQ(V66,V$4:V$200)</f>
        <v>113</v>
      </c>
      <c r="AA66" s="2">
        <f t="shared" si="70"/>
        <v>97</v>
      </c>
      <c r="AB66" s="2">
        <f t="shared" si="70"/>
        <v>78</v>
      </c>
      <c r="AC66" s="2">
        <f t="shared" si="70"/>
        <v>52</v>
      </c>
      <c r="AD66" s="10">
        <f t="shared" si="2"/>
        <v>51.5</v>
      </c>
      <c r="AE66" s="2">
        <v>188</v>
      </c>
      <c r="AF66" s="10">
        <f t="shared" si="3"/>
        <v>64</v>
      </c>
      <c r="AG66" s="2"/>
      <c r="AH66" s="2">
        <v>96</v>
      </c>
      <c r="AI66" s="41">
        <f t="shared" si="40"/>
        <v>198</v>
      </c>
      <c r="AJ66" s="10">
        <f t="shared" si="5"/>
        <v>0</v>
      </c>
      <c r="AK66" s="10">
        <f t="shared" si="6"/>
        <v>0</v>
      </c>
    </row>
    <row r="67" spans="1:37">
      <c r="A67" s="3">
        <v>10021</v>
      </c>
      <c r="B67" s="2" t="s">
        <v>139</v>
      </c>
      <c r="C67" s="3" t="s">
        <v>46</v>
      </c>
      <c r="D67" s="3" t="s">
        <v>46</v>
      </c>
      <c r="E67" s="3" t="s">
        <v>46</v>
      </c>
      <c r="F67" s="3"/>
      <c r="G67" s="3" t="s">
        <v>138</v>
      </c>
      <c r="H67" s="3"/>
      <c r="I67" s="3" t="s">
        <v>119</v>
      </c>
      <c r="J67" s="3" t="s">
        <v>49</v>
      </c>
      <c r="K67" s="4"/>
      <c r="L67" s="3" t="s">
        <v>55</v>
      </c>
      <c r="M67" s="4">
        <v>5000</v>
      </c>
      <c r="N67" s="2">
        <v>36</v>
      </c>
      <c r="O67" s="5" t="s">
        <v>55</v>
      </c>
      <c r="P67" s="25">
        <v>14.4</v>
      </c>
      <c r="Q67" s="26">
        <f t="shared" si="0"/>
        <v>453.6</v>
      </c>
      <c r="R67" s="27">
        <v>1.5</v>
      </c>
      <c r="S67" s="2"/>
      <c r="T67" s="2">
        <v>214</v>
      </c>
      <c r="U67" s="2"/>
      <c r="V67" s="10">
        <v>152317</v>
      </c>
      <c r="W67" s="10">
        <v>194824</v>
      </c>
      <c r="X67" s="10">
        <v>177</v>
      </c>
      <c r="Y67" s="10">
        <v>226</v>
      </c>
      <c r="Z67" s="2">
        <f t="shared" ref="Z67:AC67" si="71">_xlfn.RANK.EQ(V67,V$4:V$200)</f>
        <v>16</v>
      </c>
      <c r="AA67" s="2">
        <f t="shared" si="71"/>
        <v>13</v>
      </c>
      <c r="AB67" s="2">
        <f t="shared" si="71"/>
        <v>11</v>
      </c>
      <c r="AC67" s="2">
        <f t="shared" si="71"/>
        <v>8</v>
      </c>
      <c r="AD67" s="10">
        <f t="shared" si="2"/>
        <v>201.5</v>
      </c>
      <c r="AE67" s="2">
        <v>702</v>
      </c>
      <c r="AF67" s="10">
        <f t="shared" si="3"/>
        <v>226</v>
      </c>
      <c r="AG67" s="2"/>
      <c r="AH67" s="2">
        <v>192</v>
      </c>
      <c r="AI67" s="41">
        <f t="shared" si="40"/>
        <v>553</v>
      </c>
      <c r="AJ67" s="10">
        <f t="shared" si="5"/>
        <v>0</v>
      </c>
      <c r="AK67" s="10">
        <f t="shared" si="6"/>
        <v>0</v>
      </c>
    </row>
    <row r="68" spans="1:37">
      <c r="A68" s="3">
        <v>10491</v>
      </c>
      <c r="B68" s="2" t="s">
        <v>140</v>
      </c>
      <c r="C68" s="3" t="s">
        <v>46</v>
      </c>
      <c r="D68" s="3" t="s">
        <v>46</v>
      </c>
      <c r="E68" s="3" t="s">
        <v>46</v>
      </c>
      <c r="F68" s="3" t="s">
        <v>61</v>
      </c>
      <c r="G68" s="3" t="s">
        <v>141</v>
      </c>
      <c r="H68" s="3"/>
      <c r="I68" s="3" t="s">
        <v>48</v>
      </c>
      <c r="J68" s="3" t="s">
        <v>49</v>
      </c>
      <c r="K68" s="4">
        <v>200</v>
      </c>
      <c r="L68" s="3"/>
      <c r="M68" s="4"/>
      <c r="N68" s="2">
        <v>5</v>
      </c>
      <c r="O68" s="5" t="s">
        <v>50</v>
      </c>
      <c r="P68" s="25">
        <v>588</v>
      </c>
      <c r="Q68" s="26">
        <f t="shared" si="0"/>
        <v>588</v>
      </c>
      <c r="R68" s="27">
        <v>1.5</v>
      </c>
      <c r="S68" s="2"/>
      <c r="T68" s="2">
        <v>51</v>
      </c>
      <c r="U68" s="2"/>
      <c r="V68" s="10">
        <v>31943</v>
      </c>
      <c r="W68" s="10">
        <v>32870</v>
      </c>
      <c r="X68" s="10">
        <v>35</v>
      </c>
      <c r="Y68" s="10">
        <v>36</v>
      </c>
      <c r="Z68" s="2">
        <f t="shared" ref="Z68:AC68" si="72">_xlfn.RANK.EQ(V68,V$4:V$200)</f>
        <v>117</v>
      </c>
      <c r="AA68" s="2">
        <f t="shared" si="72"/>
        <v>135</v>
      </c>
      <c r="AB68" s="2">
        <f t="shared" si="72"/>
        <v>86</v>
      </c>
      <c r="AC68" s="2">
        <f t="shared" si="72"/>
        <v>98</v>
      </c>
      <c r="AD68" s="10">
        <f t="shared" si="2"/>
        <v>35.5</v>
      </c>
      <c r="AE68" s="2">
        <v>95</v>
      </c>
      <c r="AF68" s="10">
        <f t="shared" si="3"/>
        <v>36</v>
      </c>
      <c r="AG68" s="2">
        <v>40</v>
      </c>
      <c r="AH68" s="2"/>
      <c r="AI68" s="41">
        <f t="shared" si="40"/>
        <v>105</v>
      </c>
      <c r="AJ68" s="10">
        <f t="shared" si="5"/>
        <v>0</v>
      </c>
      <c r="AK68" s="10">
        <f t="shared" si="6"/>
        <v>0</v>
      </c>
    </row>
    <row r="69" spans="1:37">
      <c r="A69" s="3">
        <v>70055</v>
      </c>
      <c r="B69" s="2" t="s">
        <v>142</v>
      </c>
      <c r="C69" s="3" t="s">
        <v>46</v>
      </c>
      <c r="D69" s="3" t="s">
        <v>46</v>
      </c>
      <c r="E69" s="3" t="s">
        <v>46</v>
      </c>
      <c r="F69" s="3"/>
      <c r="G69" s="3" t="s">
        <v>75</v>
      </c>
      <c r="H69" s="3"/>
      <c r="I69" s="3" t="s">
        <v>48</v>
      </c>
      <c r="J69" s="3" t="s">
        <v>49</v>
      </c>
      <c r="K69" s="4"/>
      <c r="L69" s="3"/>
      <c r="M69" s="4"/>
      <c r="N69" s="2">
        <v>5</v>
      </c>
      <c r="O69" s="5" t="s">
        <v>55</v>
      </c>
      <c r="P69" s="25">
        <v>16.8</v>
      </c>
      <c r="Q69" s="26">
        <f t="shared" si="0"/>
        <v>529.20000000000005</v>
      </c>
      <c r="R69" s="27">
        <v>1.5</v>
      </c>
      <c r="S69" s="2"/>
      <c r="T69" s="2">
        <v>51</v>
      </c>
      <c r="U69" s="2"/>
      <c r="V69" s="10">
        <v>12533</v>
      </c>
      <c r="W69" s="10">
        <v>26028</v>
      </c>
      <c r="X69" s="10">
        <v>15</v>
      </c>
      <c r="Y69" s="10">
        <v>31</v>
      </c>
      <c r="Z69" s="2">
        <f t="shared" ref="Z69:AC69" si="73">_xlfn.RANK.EQ(V69,V$4:V$200)</f>
        <v>157</v>
      </c>
      <c r="AA69" s="2">
        <f t="shared" si="73"/>
        <v>155</v>
      </c>
      <c r="AB69" s="2">
        <f t="shared" si="73"/>
        <v>126</v>
      </c>
      <c r="AC69" s="2">
        <f t="shared" si="73"/>
        <v>103</v>
      </c>
      <c r="AD69" s="10">
        <f t="shared" si="2"/>
        <v>23</v>
      </c>
      <c r="AE69" s="2">
        <v>180</v>
      </c>
      <c r="AF69" s="10">
        <f t="shared" si="3"/>
        <v>31</v>
      </c>
      <c r="AG69" s="2"/>
      <c r="AH69" s="2"/>
      <c r="AI69" s="41">
        <f t="shared" si="40"/>
        <v>97.5</v>
      </c>
      <c r="AJ69" s="10">
        <f t="shared" si="5"/>
        <v>0</v>
      </c>
      <c r="AK69" s="10">
        <f t="shared" si="6"/>
        <v>0</v>
      </c>
    </row>
    <row r="70" spans="1:37" ht="15.75" customHeight="1">
      <c r="A70" s="3">
        <v>10363</v>
      </c>
      <c r="B70" s="2" t="s">
        <v>143</v>
      </c>
      <c r="C70" s="3" t="s">
        <v>46</v>
      </c>
      <c r="D70" s="3" t="s">
        <v>46</v>
      </c>
      <c r="E70" s="3" t="s">
        <v>46</v>
      </c>
      <c r="F70" s="3"/>
      <c r="G70" s="3" t="s">
        <v>75</v>
      </c>
      <c r="H70" s="3" t="s">
        <v>110</v>
      </c>
      <c r="I70" s="3" t="s">
        <v>48</v>
      </c>
      <c r="J70" s="3" t="s">
        <v>49</v>
      </c>
      <c r="K70" s="4"/>
      <c r="L70" s="29" t="s">
        <v>55</v>
      </c>
      <c r="M70" s="30">
        <v>6000</v>
      </c>
      <c r="N70" s="2">
        <v>48</v>
      </c>
      <c r="O70" s="5" t="s">
        <v>55</v>
      </c>
      <c r="P70" s="25">
        <v>16.32</v>
      </c>
      <c r="Q70" s="26">
        <f t="shared" si="0"/>
        <v>514.08000000000004</v>
      </c>
      <c r="R70" s="27">
        <v>1.5</v>
      </c>
      <c r="S70" s="2"/>
      <c r="T70" s="2">
        <v>153</v>
      </c>
      <c r="U70" s="2"/>
      <c r="V70" s="10">
        <v>106113</v>
      </c>
      <c r="W70" s="10">
        <v>127704</v>
      </c>
      <c r="X70" s="10">
        <v>135</v>
      </c>
      <c r="Y70" s="10">
        <v>163</v>
      </c>
      <c r="Z70" s="2">
        <f t="shared" ref="Z70:AC70" si="74">_xlfn.RANK.EQ(V70,V$4:V$200)</f>
        <v>36</v>
      </c>
      <c r="AA70" s="2">
        <f t="shared" si="74"/>
        <v>35</v>
      </c>
      <c r="AB70" s="2">
        <f t="shared" si="74"/>
        <v>17</v>
      </c>
      <c r="AC70" s="2">
        <f t="shared" si="74"/>
        <v>17</v>
      </c>
      <c r="AD70" s="10">
        <f t="shared" si="2"/>
        <v>149</v>
      </c>
      <c r="AE70" s="2">
        <v>516</v>
      </c>
      <c r="AF70" s="10">
        <f t="shared" si="3"/>
        <v>163</v>
      </c>
      <c r="AG70" s="2">
        <v>336</v>
      </c>
      <c r="AH70" s="2"/>
      <c r="AI70" s="41">
        <f t="shared" si="40"/>
        <v>397.5</v>
      </c>
      <c r="AJ70" s="10">
        <f t="shared" si="5"/>
        <v>0</v>
      </c>
      <c r="AK70" s="10">
        <f t="shared" si="6"/>
        <v>0</v>
      </c>
    </row>
    <row r="71" spans="1:37" ht="15.75" customHeight="1">
      <c r="A71" s="3">
        <v>10364</v>
      </c>
      <c r="B71" s="2" t="s">
        <v>144</v>
      </c>
      <c r="C71" s="3" t="s">
        <v>46</v>
      </c>
      <c r="D71" s="3" t="s">
        <v>46</v>
      </c>
      <c r="E71" s="3" t="s">
        <v>60</v>
      </c>
      <c r="F71" s="3" t="s">
        <v>61</v>
      </c>
      <c r="G71" s="3" t="s">
        <v>75</v>
      </c>
      <c r="H71" s="3" t="s">
        <v>110</v>
      </c>
      <c r="I71" s="3" t="s">
        <v>48</v>
      </c>
      <c r="J71" s="3" t="s">
        <v>49</v>
      </c>
      <c r="K71" s="4"/>
      <c r="L71" s="29" t="s">
        <v>55</v>
      </c>
      <c r="M71" s="30">
        <v>6000</v>
      </c>
      <c r="N71" s="2">
        <v>48</v>
      </c>
      <c r="O71" s="5" t="s">
        <v>55</v>
      </c>
      <c r="P71" s="25">
        <v>19.2</v>
      </c>
      <c r="Q71" s="26">
        <f t="shared" si="0"/>
        <v>604.79999999999995</v>
      </c>
      <c r="R71" s="27">
        <v>1.5</v>
      </c>
      <c r="S71" s="2"/>
      <c r="T71" s="2">
        <v>51</v>
      </c>
      <c r="U71" s="2"/>
      <c r="V71" s="10">
        <v>31614</v>
      </c>
      <c r="W71" s="10">
        <v>27718</v>
      </c>
      <c r="X71" s="10">
        <v>34</v>
      </c>
      <c r="Y71" s="10">
        <v>30</v>
      </c>
      <c r="Z71" s="2">
        <f t="shared" ref="Z71:AC71" si="75">_xlfn.RANK.EQ(V71,V$4:V$200)</f>
        <v>118</v>
      </c>
      <c r="AA71" s="2">
        <f t="shared" si="75"/>
        <v>148</v>
      </c>
      <c r="AB71" s="2">
        <f t="shared" si="75"/>
        <v>89</v>
      </c>
      <c r="AC71" s="2">
        <f t="shared" si="75"/>
        <v>106</v>
      </c>
      <c r="AD71" s="10">
        <f t="shared" si="2"/>
        <v>32</v>
      </c>
      <c r="AE71" s="2">
        <v>89</v>
      </c>
      <c r="AF71" s="10">
        <f t="shared" si="3"/>
        <v>30</v>
      </c>
      <c r="AG71" s="2">
        <v>48</v>
      </c>
      <c r="AH71" s="2"/>
      <c r="AI71" s="41">
        <f t="shared" si="40"/>
        <v>99</v>
      </c>
      <c r="AJ71" s="10">
        <f t="shared" si="5"/>
        <v>0</v>
      </c>
      <c r="AK71" s="10">
        <f t="shared" si="6"/>
        <v>0</v>
      </c>
    </row>
    <row r="72" spans="1:37">
      <c r="A72" s="3">
        <v>10377</v>
      </c>
      <c r="B72" s="2" t="s">
        <v>145</v>
      </c>
      <c r="C72" s="3" t="s">
        <v>46</v>
      </c>
      <c r="D72" s="3" t="s">
        <v>46</v>
      </c>
      <c r="E72" s="3" t="s">
        <v>46</v>
      </c>
      <c r="F72" s="3"/>
      <c r="G72" s="3" t="s">
        <v>146</v>
      </c>
      <c r="H72" s="3"/>
      <c r="I72" s="3" t="s">
        <v>114</v>
      </c>
      <c r="J72" s="3" t="s">
        <v>115</v>
      </c>
      <c r="K72" s="32">
        <v>150</v>
      </c>
      <c r="L72" s="3"/>
      <c r="M72" s="4"/>
      <c r="N72" s="2">
        <v>5</v>
      </c>
      <c r="O72" s="5" t="s">
        <v>50</v>
      </c>
      <c r="P72" s="33">
        <v>1039</v>
      </c>
      <c r="Q72" s="26">
        <f t="shared" si="0"/>
        <v>1039</v>
      </c>
      <c r="R72" s="27">
        <v>1.5</v>
      </c>
      <c r="S72" s="2"/>
      <c r="T72" s="2">
        <v>102</v>
      </c>
      <c r="U72" s="2"/>
      <c r="V72" s="10">
        <v>107091</v>
      </c>
      <c r="W72" s="10">
        <v>135130</v>
      </c>
      <c r="X72" s="10">
        <v>72</v>
      </c>
      <c r="Y72" s="10">
        <v>90</v>
      </c>
      <c r="Z72" s="2">
        <f t="shared" ref="Z72:AC72" si="76">_xlfn.RANK.EQ(V72,V$4:V$200)</f>
        <v>35</v>
      </c>
      <c r="AA72" s="2">
        <f t="shared" si="76"/>
        <v>32</v>
      </c>
      <c r="AB72" s="2">
        <f t="shared" si="76"/>
        <v>40</v>
      </c>
      <c r="AC72" s="2">
        <f t="shared" si="76"/>
        <v>38</v>
      </c>
      <c r="AD72" s="10">
        <f t="shared" si="2"/>
        <v>81</v>
      </c>
      <c r="AE72" s="2">
        <v>200</v>
      </c>
      <c r="AF72" s="10">
        <f t="shared" si="3"/>
        <v>90</v>
      </c>
      <c r="AG72" s="2">
        <v>80</v>
      </c>
      <c r="AH72" s="2">
        <v>0</v>
      </c>
      <c r="AI72" s="41">
        <f t="shared" si="40"/>
        <v>237</v>
      </c>
      <c r="AJ72" s="34">
        <v>150</v>
      </c>
      <c r="AK72" s="10">
        <f t="shared" si="6"/>
        <v>155850</v>
      </c>
    </row>
    <row r="73" spans="1:37">
      <c r="A73" s="3">
        <v>10152</v>
      </c>
      <c r="B73" s="2" t="s">
        <v>147</v>
      </c>
      <c r="C73" s="3" t="s">
        <v>46</v>
      </c>
      <c r="D73" s="3" t="s">
        <v>46</v>
      </c>
      <c r="E73" s="3" t="s">
        <v>46</v>
      </c>
      <c r="F73" s="3"/>
      <c r="G73" s="3" t="s">
        <v>148</v>
      </c>
      <c r="H73" s="3"/>
      <c r="I73" s="3" t="s">
        <v>149</v>
      </c>
      <c r="J73" s="3" t="s">
        <v>49</v>
      </c>
      <c r="K73" s="4"/>
      <c r="L73" s="3"/>
      <c r="M73" s="4"/>
      <c r="N73" s="2">
        <v>5</v>
      </c>
      <c r="O73" s="5" t="s">
        <v>55</v>
      </c>
      <c r="P73" s="25">
        <v>47.52</v>
      </c>
      <c r="Q73" s="26">
        <f t="shared" si="0"/>
        <v>1496.88</v>
      </c>
      <c r="R73" s="27">
        <v>1.5</v>
      </c>
      <c r="S73" s="2"/>
      <c r="T73" s="2">
        <v>51</v>
      </c>
      <c r="U73" s="2"/>
      <c r="V73" s="10">
        <v>97655</v>
      </c>
      <c r="W73" s="10">
        <v>87666</v>
      </c>
      <c r="X73" s="10">
        <v>40</v>
      </c>
      <c r="Y73" s="10">
        <v>37</v>
      </c>
      <c r="Z73" s="2">
        <f t="shared" ref="Z73:AC73" si="77">_xlfn.RANK.EQ(V73,V$4:V$200)</f>
        <v>43</v>
      </c>
      <c r="AA73" s="2">
        <f t="shared" si="77"/>
        <v>57</v>
      </c>
      <c r="AB73" s="2">
        <f t="shared" si="77"/>
        <v>75</v>
      </c>
      <c r="AC73" s="2">
        <f t="shared" si="77"/>
        <v>95</v>
      </c>
      <c r="AD73" s="10">
        <f t="shared" si="2"/>
        <v>38.5</v>
      </c>
      <c r="AE73" s="2">
        <v>129</v>
      </c>
      <c r="AF73" s="10">
        <f t="shared" si="3"/>
        <v>37</v>
      </c>
      <c r="AG73" s="2">
        <v>70</v>
      </c>
      <c r="AH73" s="2"/>
      <c r="AI73" s="41">
        <f t="shared" si="40"/>
        <v>108.75</v>
      </c>
      <c r="AJ73" s="10">
        <f t="shared" ref="AJ73:AJ170" si="78">IF(F73="V",0,
   IF(N73="",
      MAX(AI73-(AE73-AF73)-AG73-AH73,0),
      CEILING(MAX(AI73-(AE73-AF73)-AG73-AH73,0),N73)
   )
)</f>
        <v>0</v>
      </c>
      <c r="AK73" s="10">
        <f t="shared" si="6"/>
        <v>0</v>
      </c>
    </row>
    <row r="74" spans="1:37">
      <c r="A74" s="3">
        <v>10160</v>
      </c>
      <c r="B74" s="2" t="s">
        <v>150</v>
      </c>
      <c r="C74" s="3" t="s">
        <v>46</v>
      </c>
      <c r="D74" s="3" t="s">
        <v>46</v>
      </c>
      <c r="E74" s="3" t="s">
        <v>46</v>
      </c>
      <c r="F74" s="3"/>
      <c r="G74" s="3" t="s">
        <v>148</v>
      </c>
      <c r="H74" s="3"/>
      <c r="I74" s="3" t="s">
        <v>149</v>
      </c>
      <c r="J74" s="3" t="s">
        <v>49</v>
      </c>
      <c r="K74" s="4"/>
      <c r="L74" s="3"/>
      <c r="M74" s="4"/>
      <c r="N74" s="2">
        <v>5</v>
      </c>
      <c r="O74" s="5" t="s">
        <v>55</v>
      </c>
      <c r="P74" s="25">
        <v>133.91999999999999</v>
      </c>
      <c r="Q74" s="26">
        <f t="shared" si="0"/>
        <v>4218.4799999999996</v>
      </c>
      <c r="R74" s="27">
        <v>1.5</v>
      </c>
      <c r="S74" s="2"/>
      <c r="T74" s="2">
        <v>51</v>
      </c>
      <c r="U74" s="2"/>
      <c r="V74" s="10">
        <v>119412</v>
      </c>
      <c r="W74" s="10">
        <v>113050</v>
      </c>
      <c r="X74" s="10">
        <v>18</v>
      </c>
      <c r="Y74" s="10">
        <v>17</v>
      </c>
      <c r="Z74" s="2">
        <f t="shared" ref="Z74:AC74" si="79">_xlfn.RANK.EQ(V74,V$4:V$200)</f>
        <v>27</v>
      </c>
      <c r="AA74" s="2">
        <f t="shared" si="79"/>
        <v>43</v>
      </c>
      <c r="AB74" s="2">
        <f t="shared" si="79"/>
        <v>119</v>
      </c>
      <c r="AC74" s="2">
        <f t="shared" si="79"/>
        <v>144</v>
      </c>
      <c r="AD74" s="10">
        <f t="shared" si="2"/>
        <v>17.5</v>
      </c>
      <c r="AE74" s="2">
        <v>139</v>
      </c>
      <c r="AF74" s="10">
        <f t="shared" si="3"/>
        <v>17</v>
      </c>
      <c r="AG74" s="2">
        <v>4</v>
      </c>
      <c r="AH74" s="2"/>
      <c r="AI74" s="41">
        <f t="shared" si="40"/>
        <v>77.25</v>
      </c>
      <c r="AJ74" s="10">
        <f t="shared" si="78"/>
        <v>0</v>
      </c>
      <c r="AK74" s="10">
        <f t="shared" si="6"/>
        <v>0</v>
      </c>
    </row>
    <row r="75" spans="1:37">
      <c r="A75" s="3">
        <v>10153</v>
      </c>
      <c r="B75" s="2" t="s">
        <v>151</v>
      </c>
      <c r="C75" s="3" t="s">
        <v>46</v>
      </c>
      <c r="D75" s="3" t="s">
        <v>46</v>
      </c>
      <c r="E75" s="3" t="s">
        <v>46</v>
      </c>
      <c r="F75" s="3"/>
      <c r="G75" s="3" t="s">
        <v>148</v>
      </c>
      <c r="H75" s="3"/>
      <c r="I75" s="3" t="s">
        <v>149</v>
      </c>
      <c r="J75" s="3" t="s">
        <v>49</v>
      </c>
      <c r="K75" s="4"/>
      <c r="L75" s="3"/>
      <c r="M75" s="4"/>
      <c r="N75" s="2">
        <v>5</v>
      </c>
      <c r="O75" s="5" t="s">
        <v>55</v>
      </c>
      <c r="P75" s="25">
        <v>33.119999999999997</v>
      </c>
      <c r="Q75" s="26">
        <f t="shared" si="0"/>
        <v>1043.28</v>
      </c>
      <c r="R75" s="27">
        <v>1.5</v>
      </c>
      <c r="S75" s="2"/>
      <c r="T75" s="2">
        <v>51</v>
      </c>
      <c r="U75" s="2"/>
      <c r="V75" s="10">
        <v>13809</v>
      </c>
      <c r="W75" s="10">
        <v>17551</v>
      </c>
      <c r="X75" s="10">
        <v>7</v>
      </c>
      <c r="Y75" s="10">
        <v>9</v>
      </c>
      <c r="Z75" s="2">
        <f t="shared" ref="Z75:AC75" si="80">_xlfn.RANK.EQ(V75,V$4:V$200)</f>
        <v>154</v>
      </c>
      <c r="AA75" s="2">
        <f t="shared" si="80"/>
        <v>167</v>
      </c>
      <c r="AB75" s="2">
        <f t="shared" si="80"/>
        <v>157</v>
      </c>
      <c r="AC75" s="2">
        <f t="shared" si="80"/>
        <v>177</v>
      </c>
      <c r="AD75" s="10">
        <f t="shared" si="2"/>
        <v>8</v>
      </c>
      <c r="AE75" s="2">
        <v>102</v>
      </c>
      <c r="AF75" s="10">
        <f t="shared" si="3"/>
        <v>9</v>
      </c>
      <c r="AG75" s="2"/>
      <c r="AH75" s="2"/>
      <c r="AI75" s="41">
        <f t="shared" si="40"/>
        <v>64.5</v>
      </c>
      <c r="AJ75" s="10">
        <f t="shared" si="78"/>
        <v>0</v>
      </c>
      <c r="AK75" s="10">
        <f t="shared" si="6"/>
        <v>0</v>
      </c>
    </row>
    <row r="76" spans="1:37">
      <c r="A76" s="3">
        <v>10112</v>
      </c>
      <c r="B76" s="2" t="s">
        <v>152</v>
      </c>
      <c r="C76" s="3" t="s">
        <v>46</v>
      </c>
      <c r="D76" s="3" t="s">
        <v>46</v>
      </c>
      <c r="E76" s="3" t="s">
        <v>60</v>
      </c>
      <c r="F76" s="3" t="s">
        <v>61</v>
      </c>
      <c r="G76" s="3" t="s">
        <v>106</v>
      </c>
      <c r="H76" s="3"/>
      <c r="I76" s="3" t="s">
        <v>54</v>
      </c>
      <c r="J76" s="3" t="s">
        <v>115</v>
      </c>
      <c r="K76" s="4"/>
      <c r="L76" s="3"/>
      <c r="M76" s="4"/>
      <c r="N76" s="2">
        <v>5</v>
      </c>
      <c r="O76" s="5" t="s">
        <v>50</v>
      </c>
      <c r="P76" s="25">
        <v>420</v>
      </c>
      <c r="Q76" s="26">
        <f t="shared" si="0"/>
        <v>420</v>
      </c>
      <c r="R76" s="27">
        <v>1.5</v>
      </c>
      <c r="S76" s="2"/>
      <c r="T76" s="2">
        <v>51</v>
      </c>
      <c r="U76" s="2"/>
      <c r="V76" s="10">
        <v>40039</v>
      </c>
      <c r="W76" s="10">
        <v>48850</v>
      </c>
      <c r="X76" s="10">
        <v>50</v>
      </c>
      <c r="Y76" s="10">
        <v>61</v>
      </c>
      <c r="Z76" s="2">
        <f t="shared" ref="Z76:AC76" si="81">_xlfn.RANK.EQ(V76,V$4:V$200)</f>
        <v>105</v>
      </c>
      <c r="AA76" s="2">
        <f t="shared" si="81"/>
        <v>109</v>
      </c>
      <c r="AB76" s="2">
        <f t="shared" si="81"/>
        <v>60</v>
      </c>
      <c r="AC76" s="2">
        <f t="shared" si="81"/>
        <v>56</v>
      </c>
      <c r="AD76" s="10">
        <f t="shared" si="2"/>
        <v>55.5</v>
      </c>
      <c r="AE76" s="2">
        <v>130</v>
      </c>
      <c r="AF76" s="10">
        <f t="shared" si="3"/>
        <v>61</v>
      </c>
      <c r="AG76" s="2"/>
      <c r="AH76" s="2">
        <v>0</v>
      </c>
      <c r="AI76" s="41">
        <f t="shared" si="40"/>
        <v>142.5</v>
      </c>
      <c r="AJ76" s="10">
        <f t="shared" si="78"/>
        <v>0</v>
      </c>
      <c r="AK76" s="10">
        <f t="shared" si="6"/>
        <v>0</v>
      </c>
    </row>
    <row r="77" spans="1:37">
      <c r="A77" s="3">
        <v>20030</v>
      </c>
      <c r="B77" s="2" t="s">
        <v>153</v>
      </c>
      <c r="C77" s="3" t="s">
        <v>46</v>
      </c>
      <c r="D77" s="3" t="s">
        <v>46</v>
      </c>
      <c r="E77" s="3" t="s">
        <v>46</v>
      </c>
      <c r="F77" s="3"/>
      <c r="G77" s="3" t="s">
        <v>52</v>
      </c>
      <c r="H77" s="3" t="s">
        <v>154</v>
      </c>
      <c r="I77" s="3" t="s">
        <v>54</v>
      </c>
      <c r="J77" s="3" t="s">
        <v>49</v>
      </c>
      <c r="K77" s="4"/>
      <c r="L77" s="3"/>
      <c r="M77" s="4"/>
      <c r="N77" s="2">
        <v>5</v>
      </c>
      <c r="O77" s="5" t="s">
        <v>55</v>
      </c>
      <c r="P77" s="25">
        <v>28.32</v>
      </c>
      <c r="Q77" s="26">
        <f t="shared" si="0"/>
        <v>892.08</v>
      </c>
      <c r="R77" s="27">
        <v>2</v>
      </c>
      <c r="S77" s="2"/>
      <c r="T77" s="2">
        <v>51</v>
      </c>
      <c r="U77" s="2"/>
      <c r="V77" s="10">
        <v>104751</v>
      </c>
      <c r="W77" s="10">
        <v>86393</v>
      </c>
      <c r="X77" s="10">
        <v>72</v>
      </c>
      <c r="Y77" s="10">
        <v>59</v>
      </c>
      <c r="Z77" s="2">
        <f t="shared" ref="Z77:AC77" si="82">_xlfn.RANK.EQ(V77,V$4:V$200)</f>
        <v>39</v>
      </c>
      <c r="AA77" s="2">
        <f t="shared" si="82"/>
        <v>60</v>
      </c>
      <c r="AB77" s="2">
        <f t="shared" si="82"/>
        <v>40</v>
      </c>
      <c r="AC77" s="2">
        <f t="shared" si="82"/>
        <v>58</v>
      </c>
      <c r="AD77" s="10">
        <f t="shared" si="2"/>
        <v>65.5</v>
      </c>
      <c r="AE77" s="2">
        <v>124</v>
      </c>
      <c r="AF77" s="10">
        <f t="shared" si="3"/>
        <v>59</v>
      </c>
      <c r="AG77" s="2"/>
      <c r="AH77" s="2">
        <v>120</v>
      </c>
      <c r="AI77" s="41">
        <f t="shared" si="40"/>
        <v>149.25</v>
      </c>
      <c r="AJ77" s="10">
        <f t="shared" si="78"/>
        <v>0</v>
      </c>
      <c r="AK77" s="10">
        <f t="shared" si="6"/>
        <v>0</v>
      </c>
    </row>
    <row r="78" spans="1:37">
      <c r="A78" s="3">
        <v>20021</v>
      </c>
      <c r="B78" s="2" t="s">
        <v>155</v>
      </c>
      <c r="C78" s="3"/>
      <c r="D78" s="3" t="s">
        <v>46</v>
      </c>
      <c r="E78" s="3" t="s">
        <v>46</v>
      </c>
      <c r="F78" s="3"/>
      <c r="G78" s="3" t="s">
        <v>52</v>
      </c>
      <c r="H78" s="3" t="s">
        <v>154</v>
      </c>
      <c r="I78" s="3" t="s">
        <v>54</v>
      </c>
      <c r="J78" s="3" t="s">
        <v>49</v>
      </c>
      <c r="K78" s="4"/>
      <c r="L78" s="3"/>
      <c r="M78" s="4"/>
      <c r="N78" s="2">
        <v>5</v>
      </c>
      <c r="O78" s="5" t="s">
        <v>55</v>
      </c>
      <c r="P78" s="25">
        <v>24</v>
      </c>
      <c r="Q78" s="26">
        <f t="shared" si="0"/>
        <v>756</v>
      </c>
      <c r="R78" s="27">
        <v>2</v>
      </c>
      <c r="S78" s="2"/>
      <c r="T78" s="2">
        <v>51</v>
      </c>
      <c r="U78" s="2"/>
      <c r="V78" s="10">
        <v>54512</v>
      </c>
      <c r="W78" s="10">
        <v>75718</v>
      </c>
      <c r="X78" s="10">
        <v>44</v>
      </c>
      <c r="Y78" s="10">
        <v>62</v>
      </c>
      <c r="Z78" s="2">
        <f t="shared" ref="Z78:AC78" si="83">_xlfn.RANK.EQ(V78,V$4:V$200)</f>
        <v>83</v>
      </c>
      <c r="AA78" s="2">
        <f t="shared" si="83"/>
        <v>73</v>
      </c>
      <c r="AB78" s="2">
        <f t="shared" si="83"/>
        <v>70</v>
      </c>
      <c r="AC78" s="2">
        <f t="shared" si="83"/>
        <v>53</v>
      </c>
      <c r="AD78" s="10">
        <f t="shared" si="2"/>
        <v>53</v>
      </c>
      <c r="AE78" s="2">
        <v>206</v>
      </c>
      <c r="AF78" s="10">
        <f t="shared" si="3"/>
        <v>62</v>
      </c>
      <c r="AG78" s="2"/>
      <c r="AH78" s="2"/>
      <c r="AI78" s="41">
        <f t="shared" si="40"/>
        <v>144</v>
      </c>
      <c r="AJ78" s="10">
        <f t="shared" si="78"/>
        <v>0</v>
      </c>
      <c r="AK78" s="10">
        <f t="shared" si="6"/>
        <v>0</v>
      </c>
    </row>
    <row r="79" spans="1:37">
      <c r="A79" s="3">
        <v>20083</v>
      </c>
      <c r="B79" s="2" t="s">
        <v>156</v>
      </c>
      <c r="C79" s="3" t="s">
        <v>46</v>
      </c>
      <c r="D79" s="3" t="s">
        <v>46</v>
      </c>
      <c r="E79" s="3" t="s">
        <v>60</v>
      </c>
      <c r="F79" s="3" t="s">
        <v>61</v>
      </c>
      <c r="G79" s="3" t="s">
        <v>52</v>
      </c>
      <c r="H79" s="3" t="s">
        <v>157</v>
      </c>
      <c r="I79" s="3" t="s">
        <v>54</v>
      </c>
      <c r="J79" s="3" t="s">
        <v>49</v>
      </c>
      <c r="K79" s="4"/>
      <c r="L79" s="3" t="s">
        <v>55</v>
      </c>
      <c r="M79" s="4">
        <v>15000</v>
      </c>
      <c r="N79" s="2">
        <v>5</v>
      </c>
      <c r="O79" s="5" t="s">
        <v>55</v>
      </c>
      <c r="P79" s="25">
        <v>33.799999999999997</v>
      </c>
      <c r="Q79" s="26">
        <f t="shared" si="0"/>
        <v>1064.6999999999998</v>
      </c>
      <c r="R79" s="27">
        <v>2</v>
      </c>
      <c r="S79" s="2"/>
      <c r="T79" s="2">
        <v>51</v>
      </c>
      <c r="U79" s="2"/>
      <c r="V79" s="10">
        <v>7309</v>
      </c>
      <c r="W79" s="10">
        <v>29019</v>
      </c>
      <c r="X79" s="10">
        <v>3</v>
      </c>
      <c r="Y79" s="10">
        <v>12</v>
      </c>
      <c r="Z79" s="2">
        <f t="shared" ref="Z79:AC79" si="84">_xlfn.RANK.EQ(V79,V$4:V$200)</f>
        <v>162</v>
      </c>
      <c r="AA79" s="2">
        <f t="shared" si="84"/>
        <v>143</v>
      </c>
      <c r="AB79" s="2">
        <f t="shared" si="84"/>
        <v>171</v>
      </c>
      <c r="AC79" s="2">
        <f t="shared" si="84"/>
        <v>161</v>
      </c>
      <c r="AD79" s="10">
        <f t="shared" si="2"/>
        <v>7.5</v>
      </c>
      <c r="AE79" s="2">
        <v>132</v>
      </c>
      <c r="AF79" s="10">
        <f t="shared" si="3"/>
        <v>12</v>
      </c>
      <c r="AG79" s="2"/>
      <c r="AH79" s="2"/>
      <c r="AI79" s="41">
        <f t="shared" si="40"/>
        <v>69</v>
      </c>
      <c r="AJ79" s="10">
        <f t="shared" si="78"/>
        <v>0</v>
      </c>
      <c r="AK79" s="10">
        <f t="shared" si="6"/>
        <v>0</v>
      </c>
    </row>
    <row r="80" spans="1:37">
      <c r="A80" s="3">
        <v>20082</v>
      </c>
      <c r="B80" s="2" t="s">
        <v>158</v>
      </c>
      <c r="C80" s="3" t="s">
        <v>46</v>
      </c>
      <c r="D80" s="3" t="s">
        <v>46</v>
      </c>
      <c r="E80" s="3" t="s">
        <v>46</v>
      </c>
      <c r="F80" s="3"/>
      <c r="G80" s="3" t="s">
        <v>52</v>
      </c>
      <c r="H80" s="3" t="s">
        <v>157</v>
      </c>
      <c r="I80" s="3" t="s">
        <v>54</v>
      </c>
      <c r="J80" s="3" t="s">
        <v>49</v>
      </c>
      <c r="K80" s="4"/>
      <c r="L80" s="3" t="s">
        <v>55</v>
      </c>
      <c r="M80" s="4">
        <v>15000</v>
      </c>
      <c r="N80" s="2">
        <v>5</v>
      </c>
      <c r="O80" s="5" t="s">
        <v>55</v>
      </c>
      <c r="P80" s="25">
        <v>39.5</v>
      </c>
      <c r="Q80" s="26">
        <f t="shared" si="0"/>
        <v>1244.25</v>
      </c>
      <c r="R80" s="27">
        <v>2</v>
      </c>
      <c r="S80" s="2"/>
      <c r="T80" s="2">
        <v>51</v>
      </c>
      <c r="U80" s="2"/>
      <c r="V80" s="10">
        <v>61124</v>
      </c>
      <c r="W80" s="10">
        <v>51999</v>
      </c>
      <c r="X80" s="10">
        <v>22</v>
      </c>
      <c r="Y80" s="10">
        <v>19</v>
      </c>
      <c r="Z80" s="2">
        <f t="shared" ref="Z80:AC80" si="85">_xlfn.RANK.EQ(V80,V$4:V$200)</f>
        <v>71</v>
      </c>
      <c r="AA80" s="2">
        <f t="shared" si="85"/>
        <v>102</v>
      </c>
      <c r="AB80" s="2">
        <f t="shared" si="85"/>
        <v>113</v>
      </c>
      <c r="AC80" s="2">
        <f t="shared" si="85"/>
        <v>135</v>
      </c>
      <c r="AD80" s="10">
        <f t="shared" si="2"/>
        <v>20.5</v>
      </c>
      <c r="AE80" s="2">
        <v>245</v>
      </c>
      <c r="AF80" s="10">
        <f t="shared" si="3"/>
        <v>19</v>
      </c>
      <c r="AG80" s="2">
        <v>100</v>
      </c>
      <c r="AH80" s="2"/>
      <c r="AI80" s="41">
        <f t="shared" si="40"/>
        <v>81.75</v>
      </c>
      <c r="AJ80" s="10">
        <f t="shared" si="78"/>
        <v>0</v>
      </c>
      <c r="AK80" s="10">
        <f t="shared" si="6"/>
        <v>0</v>
      </c>
    </row>
    <row r="81" spans="1:37">
      <c r="A81" s="3">
        <v>20094</v>
      </c>
      <c r="B81" s="2" t="s">
        <v>159</v>
      </c>
      <c r="C81" s="3" t="s">
        <v>46</v>
      </c>
      <c r="D81" s="3" t="s">
        <v>46</v>
      </c>
      <c r="E81" s="3" t="s">
        <v>46</v>
      </c>
      <c r="F81" s="3"/>
      <c r="G81" s="3" t="s">
        <v>52</v>
      </c>
      <c r="H81" s="3" t="s">
        <v>157</v>
      </c>
      <c r="I81" s="3" t="s">
        <v>54</v>
      </c>
      <c r="J81" s="3" t="s">
        <v>49</v>
      </c>
      <c r="K81" s="4"/>
      <c r="L81" s="3" t="s">
        <v>55</v>
      </c>
      <c r="M81" s="4">
        <v>15000</v>
      </c>
      <c r="N81" s="2">
        <v>5</v>
      </c>
      <c r="O81" s="5" t="s">
        <v>55</v>
      </c>
      <c r="P81" s="25">
        <v>24.7</v>
      </c>
      <c r="Q81" s="26">
        <f t="shared" si="0"/>
        <v>778.05</v>
      </c>
      <c r="R81" s="27">
        <v>2</v>
      </c>
      <c r="S81" s="2"/>
      <c r="T81" s="2">
        <v>51</v>
      </c>
      <c r="U81" s="2"/>
      <c r="V81" s="10">
        <v>39537</v>
      </c>
      <c r="W81" s="10">
        <v>40482</v>
      </c>
      <c r="X81" s="10">
        <v>26</v>
      </c>
      <c r="Y81" s="10">
        <v>27</v>
      </c>
      <c r="Z81" s="2">
        <f t="shared" ref="Z81:AC81" si="86">_xlfn.RANK.EQ(V81,V$4:V$200)</f>
        <v>108</v>
      </c>
      <c r="AA81" s="2">
        <f t="shared" si="86"/>
        <v>120</v>
      </c>
      <c r="AB81" s="2">
        <f t="shared" si="86"/>
        <v>102</v>
      </c>
      <c r="AC81" s="2">
        <f t="shared" si="86"/>
        <v>109</v>
      </c>
      <c r="AD81" s="10">
        <f t="shared" si="2"/>
        <v>26.5</v>
      </c>
      <c r="AE81" s="2">
        <v>246</v>
      </c>
      <c r="AF81" s="10">
        <f t="shared" si="3"/>
        <v>27</v>
      </c>
      <c r="AG81" s="2"/>
      <c r="AH81" s="2"/>
      <c r="AI81" s="41">
        <f t="shared" si="40"/>
        <v>91.5</v>
      </c>
      <c r="AJ81" s="10">
        <f t="shared" si="78"/>
        <v>0</v>
      </c>
      <c r="AK81" s="10">
        <f t="shared" si="6"/>
        <v>0</v>
      </c>
    </row>
    <row r="82" spans="1:37">
      <c r="A82" s="3">
        <v>20081</v>
      </c>
      <c r="B82" s="2" t="s">
        <v>160</v>
      </c>
      <c r="C82" s="3" t="s">
        <v>46</v>
      </c>
      <c r="D82" s="3" t="s">
        <v>46</v>
      </c>
      <c r="E82" s="3" t="s">
        <v>60</v>
      </c>
      <c r="F82" s="3" t="s">
        <v>61</v>
      </c>
      <c r="G82" s="3" t="s">
        <v>130</v>
      </c>
      <c r="H82" s="3"/>
      <c r="I82" s="3" t="s">
        <v>119</v>
      </c>
      <c r="J82" s="3" t="s">
        <v>49</v>
      </c>
      <c r="K82" s="4"/>
      <c r="L82" s="3"/>
      <c r="M82" s="4"/>
      <c r="N82" s="2">
        <v>5</v>
      </c>
      <c r="O82" s="5" t="s">
        <v>55</v>
      </c>
      <c r="P82" s="25">
        <v>35.549999999999997</v>
      </c>
      <c r="Q82" s="26">
        <f t="shared" si="0"/>
        <v>1119.8249999999998</v>
      </c>
      <c r="R82" s="27">
        <v>1.5</v>
      </c>
      <c r="S82" s="2"/>
      <c r="T82" s="2">
        <v>51</v>
      </c>
      <c r="U82" s="2"/>
      <c r="V82" s="10">
        <v>30852</v>
      </c>
      <c r="W82" s="10">
        <v>28433</v>
      </c>
      <c r="X82" s="10">
        <v>16</v>
      </c>
      <c r="Y82" s="10">
        <v>15</v>
      </c>
      <c r="Z82" s="2">
        <f t="shared" ref="Z82:AC82" si="87">_xlfn.RANK.EQ(V82,V$4:V$200)</f>
        <v>119</v>
      </c>
      <c r="AA82" s="2">
        <f t="shared" si="87"/>
        <v>146</v>
      </c>
      <c r="AB82" s="2">
        <f t="shared" si="87"/>
        <v>123</v>
      </c>
      <c r="AC82" s="2">
        <f t="shared" si="87"/>
        <v>152</v>
      </c>
      <c r="AD82" s="10">
        <f t="shared" si="2"/>
        <v>15.5</v>
      </c>
      <c r="AE82" s="2">
        <v>326</v>
      </c>
      <c r="AF82" s="10">
        <f t="shared" si="3"/>
        <v>15</v>
      </c>
      <c r="AG82" s="2"/>
      <c r="AH82" s="2"/>
      <c r="AI82" s="41">
        <f t="shared" si="40"/>
        <v>74.25</v>
      </c>
      <c r="AJ82" s="10">
        <f t="shared" si="78"/>
        <v>0</v>
      </c>
      <c r="AK82" s="10">
        <f t="shared" si="6"/>
        <v>0</v>
      </c>
    </row>
    <row r="83" spans="1:37">
      <c r="A83" s="3">
        <v>20048</v>
      </c>
      <c r="B83" s="2" t="s">
        <v>161</v>
      </c>
      <c r="C83" s="3" t="s">
        <v>46</v>
      </c>
      <c r="D83" s="3" t="s">
        <v>46</v>
      </c>
      <c r="E83" s="3" t="s">
        <v>46</v>
      </c>
      <c r="F83" s="3"/>
      <c r="G83" s="3" t="s">
        <v>52</v>
      </c>
      <c r="H83" s="3" t="s">
        <v>87</v>
      </c>
      <c r="I83" s="3" t="s">
        <v>54</v>
      </c>
      <c r="J83" s="3" t="s">
        <v>49</v>
      </c>
      <c r="K83" s="4"/>
      <c r="L83" s="3" t="s">
        <v>55</v>
      </c>
      <c r="M83" s="4">
        <v>5000</v>
      </c>
      <c r="N83" s="2">
        <v>5</v>
      </c>
      <c r="O83" s="5" t="s">
        <v>55</v>
      </c>
      <c r="P83" s="25">
        <v>17.600000000000001</v>
      </c>
      <c r="Q83" s="26">
        <f t="shared" si="0"/>
        <v>554.40000000000009</v>
      </c>
      <c r="R83" s="27">
        <v>2</v>
      </c>
      <c r="S83" s="2"/>
      <c r="T83" s="2">
        <v>102</v>
      </c>
      <c r="U83" s="2"/>
      <c r="V83" s="10">
        <v>114240</v>
      </c>
      <c r="W83" s="10">
        <v>155714</v>
      </c>
      <c r="X83" s="10">
        <v>118</v>
      </c>
      <c r="Y83" s="10">
        <v>161</v>
      </c>
      <c r="Z83" s="2">
        <f t="shared" ref="Z83:AC83" si="88">_xlfn.RANK.EQ(V83,V$4:V$200)</f>
        <v>31</v>
      </c>
      <c r="AA83" s="2">
        <f t="shared" si="88"/>
        <v>20</v>
      </c>
      <c r="AB83" s="2">
        <f t="shared" si="88"/>
        <v>21</v>
      </c>
      <c r="AC83" s="2">
        <f t="shared" si="88"/>
        <v>18</v>
      </c>
      <c r="AD83" s="10">
        <f t="shared" si="2"/>
        <v>139.5</v>
      </c>
      <c r="AE83" s="2">
        <v>313</v>
      </c>
      <c r="AF83" s="10">
        <f t="shared" si="3"/>
        <v>161</v>
      </c>
      <c r="AG83" s="2"/>
      <c r="AH83" s="2">
        <v>120</v>
      </c>
      <c r="AI83" s="42">
        <f t="shared" ref="AI83:AI84" si="89">T83+MAX(AD83,AF83)*2.35</f>
        <v>480.35</v>
      </c>
      <c r="AJ83" s="10">
        <f t="shared" si="78"/>
        <v>210</v>
      </c>
      <c r="AK83" s="10">
        <f t="shared" si="6"/>
        <v>116424.00000000001</v>
      </c>
    </row>
    <row r="84" spans="1:37">
      <c r="A84" s="3">
        <v>20088</v>
      </c>
      <c r="B84" s="2" t="s">
        <v>162</v>
      </c>
      <c r="C84" s="3" t="s">
        <v>46</v>
      </c>
      <c r="D84" s="3" t="s">
        <v>46</v>
      </c>
      <c r="E84" s="3" t="s">
        <v>60</v>
      </c>
      <c r="F84" s="3" t="s">
        <v>61</v>
      </c>
      <c r="G84" s="3" t="s">
        <v>52</v>
      </c>
      <c r="H84" s="3" t="s">
        <v>87</v>
      </c>
      <c r="I84" s="3" t="s">
        <v>54</v>
      </c>
      <c r="J84" s="3" t="s">
        <v>49</v>
      </c>
      <c r="K84" s="4"/>
      <c r="L84" s="3" t="s">
        <v>55</v>
      </c>
      <c r="M84" s="4">
        <v>5000</v>
      </c>
      <c r="N84" s="2">
        <v>5</v>
      </c>
      <c r="O84" s="5" t="s">
        <v>55</v>
      </c>
      <c r="P84" s="25">
        <v>21.12</v>
      </c>
      <c r="Q84" s="26">
        <f t="shared" si="0"/>
        <v>665.28000000000009</v>
      </c>
      <c r="R84" s="27">
        <v>2</v>
      </c>
      <c r="S84" s="2"/>
      <c r="T84" s="2">
        <v>0</v>
      </c>
      <c r="U84" s="2"/>
      <c r="V84" s="10">
        <v>63383</v>
      </c>
      <c r="W84" s="10">
        <v>61351</v>
      </c>
      <c r="X84" s="10">
        <v>55</v>
      </c>
      <c r="Y84" s="10">
        <v>53</v>
      </c>
      <c r="Z84" s="2">
        <f t="shared" ref="Z84:AC84" si="90">_xlfn.RANK.EQ(V84,V$4:V$200)</f>
        <v>68</v>
      </c>
      <c r="AA84" s="2">
        <f t="shared" si="90"/>
        <v>90</v>
      </c>
      <c r="AB84" s="2">
        <f t="shared" si="90"/>
        <v>55</v>
      </c>
      <c r="AC84" s="2">
        <f t="shared" si="90"/>
        <v>68</v>
      </c>
      <c r="AD84" s="10">
        <f t="shared" si="2"/>
        <v>54</v>
      </c>
      <c r="AE84" s="2">
        <v>136</v>
      </c>
      <c r="AF84" s="10">
        <f t="shared" si="3"/>
        <v>53</v>
      </c>
      <c r="AG84" s="2"/>
      <c r="AH84" s="2"/>
      <c r="AI84" s="42">
        <f t="shared" si="89"/>
        <v>126.9</v>
      </c>
      <c r="AJ84" s="10">
        <f t="shared" si="78"/>
        <v>0</v>
      </c>
      <c r="AK84" s="10">
        <f t="shared" si="6"/>
        <v>0</v>
      </c>
    </row>
    <row r="85" spans="1:37">
      <c r="A85" s="3">
        <v>20023</v>
      </c>
      <c r="B85" s="2" t="s">
        <v>163</v>
      </c>
      <c r="C85" s="3" t="s">
        <v>46</v>
      </c>
      <c r="D85" s="3" t="s">
        <v>46</v>
      </c>
      <c r="E85" s="3" t="s">
        <v>60</v>
      </c>
      <c r="F85" s="3" t="s">
        <v>61</v>
      </c>
      <c r="G85" s="3" t="s">
        <v>62</v>
      </c>
      <c r="H85" s="3" t="s">
        <v>164</v>
      </c>
      <c r="I85" s="3" t="s">
        <v>63</v>
      </c>
      <c r="J85" s="3" t="s">
        <v>49</v>
      </c>
      <c r="K85" s="4"/>
      <c r="L85" s="3" t="s">
        <v>55</v>
      </c>
      <c r="M85" s="4">
        <v>15000</v>
      </c>
      <c r="N85" s="2">
        <v>5</v>
      </c>
      <c r="O85" s="5" t="s">
        <v>55</v>
      </c>
      <c r="P85" s="25">
        <v>31.08</v>
      </c>
      <c r="Q85" s="26">
        <f t="shared" si="0"/>
        <v>979.02</v>
      </c>
      <c r="R85" s="27">
        <v>1.5</v>
      </c>
      <c r="S85" s="2"/>
      <c r="T85" s="2">
        <v>51</v>
      </c>
      <c r="U85" s="2"/>
      <c r="V85" s="10">
        <v>27082</v>
      </c>
      <c r="W85" s="10">
        <v>14548</v>
      </c>
      <c r="X85" s="10">
        <v>15</v>
      </c>
      <c r="Y85" s="10">
        <v>8</v>
      </c>
      <c r="Z85" s="2">
        <f t="shared" ref="Z85:AC85" si="91">_xlfn.RANK.EQ(V85,V$4:V$200)</f>
        <v>127</v>
      </c>
      <c r="AA85" s="2">
        <f t="shared" si="91"/>
        <v>173</v>
      </c>
      <c r="AB85" s="2">
        <f t="shared" si="91"/>
        <v>126</v>
      </c>
      <c r="AC85" s="2">
        <f t="shared" si="91"/>
        <v>182</v>
      </c>
      <c r="AD85" s="10">
        <f t="shared" si="2"/>
        <v>11.5</v>
      </c>
      <c r="AE85" s="2">
        <v>55</v>
      </c>
      <c r="AF85" s="10">
        <f t="shared" si="3"/>
        <v>8</v>
      </c>
      <c r="AG85" s="2"/>
      <c r="AH85" s="2"/>
      <c r="AI85" s="41">
        <f t="shared" ref="AI85:AI200" si="92">T85+MAX(AD85,AF85)*1.5</f>
        <v>68.25</v>
      </c>
      <c r="AJ85" s="10">
        <f t="shared" si="78"/>
        <v>0</v>
      </c>
      <c r="AK85" s="10">
        <f t="shared" si="6"/>
        <v>0</v>
      </c>
    </row>
    <row r="86" spans="1:37">
      <c r="A86" s="3">
        <v>20085</v>
      </c>
      <c r="B86" s="2" t="s">
        <v>165</v>
      </c>
      <c r="C86" s="3"/>
      <c r="D86" s="3" t="s">
        <v>46</v>
      </c>
      <c r="E86" s="3" t="s">
        <v>60</v>
      </c>
      <c r="F86" s="3" t="s">
        <v>61</v>
      </c>
      <c r="G86" s="3" t="s">
        <v>52</v>
      </c>
      <c r="H86" s="3" t="s">
        <v>157</v>
      </c>
      <c r="I86" s="3" t="s">
        <v>54</v>
      </c>
      <c r="J86" s="3" t="s">
        <v>49</v>
      </c>
      <c r="K86" s="4"/>
      <c r="L86" s="3" t="s">
        <v>55</v>
      </c>
      <c r="M86" s="4">
        <v>15000</v>
      </c>
      <c r="N86" s="2">
        <v>5</v>
      </c>
      <c r="O86" s="5" t="s">
        <v>55</v>
      </c>
      <c r="P86" s="25">
        <v>25.4</v>
      </c>
      <c r="Q86" s="26">
        <f t="shared" si="0"/>
        <v>800.09999999999991</v>
      </c>
      <c r="R86" s="27">
        <v>2</v>
      </c>
      <c r="S86" s="2"/>
      <c r="T86" s="2">
        <v>51</v>
      </c>
      <c r="U86" s="2"/>
      <c r="V86" s="10">
        <v>28108</v>
      </c>
      <c r="W86" s="10">
        <v>13872</v>
      </c>
      <c r="X86" s="10">
        <v>18</v>
      </c>
      <c r="Y86" s="10">
        <v>9</v>
      </c>
      <c r="Z86" s="2">
        <f t="shared" ref="Z86:AC86" si="93">_xlfn.RANK.EQ(V86,V$4:V$200)</f>
        <v>124</v>
      </c>
      <c r="AA86" s="2">
        <f t="shared" si="93"/>
        <v>176</v>
      </c>
      <c r="AB86" s="2">
        <f t="shared" si="93"/>
        <v>119</v>
      </c>
      <c r="AC86" s="2">
        <f t="shared" si="93"/>
        <v>177</v>
      </c>
      <c r="AD86" s="10">
        <f t="shared" si="2"/>
        <v>13.5</v>
      </c>
      <c r="AE86" s="2">
        <v>160</v>
      </c>
      <c r="AF86" s="10">
        <f t="shared" si="3"/>
        <v>9</v>
      </c>
      <c r="AG86" s="2"/>
      <c r="AH86" s="2"/>
      <c r="AI86" s="41">
        <f t="shared" si="92"/>
        <v>71.25</v>
      </c>
      <c r="AJ86" s="10">
        <f t="shared" si="78"/>
        <v>0</v>
      </c>
      <c r="AK86" s="10">
        <f t="shared" si="6"/>
        <v>0</v>
      </c>
    </row>
    <row r="87" spans="1:37">
      <c r="A87" s="3">
        <v>20045</v>
      </c>
      <c r="B87" s="2" t="s">
        <v>166</v>
      </c>
      <c r="C87" s="3" t="s">
        <v>46</v>
      </c>
      <c r="D87" s="3" t="s">
        <v>46</v>
      </c>
      <c r="E87" s="3" t="s">
        <v>46</v>
      </c>
      <c r="F87" s="3"/>
      <c r="G87" s="3" t="s">
        <v>130</v>
      </c>
      <c r="H87" s="3"/>
      <c r="I87" s="3" t="s">
        <v>119</v>
      </c>
      <c r="J87" s="3" t="s">
        <v>49</v>
      </c>
      <c r="K87" s="4"/>
      <c r="L87" s="3"/>
      <c r="M87" s="4"/>
      <c r="N87" s="2">
        <v>5</v>
      </c>
      <c r="O87" s="5" t="s">
        <v>55</v>
      </c>
      <c r="P87" s="25">
        <v>15.99</v>
      </c>
      <c r="Q87" s="26">
        <f t="shared" si="0"/>
        <v>503.685</v>
      </c>
      <c r="R87" s="27">
        <v>1.5</v>
      </c>
      <c r="S87" s="2"/>
      <c r="T87" s="2">
        <v>51</v>
      </c>
      <c r="U87" s="2"/>
      <c r="V87" s="10">
        <v>44174</v>
      </c>
      <c r="W87" s="10">
        <v>29750</v>
      </c>
      <c r="X87" s="10">
        <v>46</v>
      </c>
      <c r="Y87" s="10">
        <v>31</v>
      </c>
      <c r="Z87" s="2">
        <f t="shared" ref="Z87:AC87" si="94">_xlfn.RANK.EQ(V87,V$4:V$200)</f>
        <v>100</v>
      </c>
      <c r="AA87" s="2">
        <f t="shared" si="94"/>
        <v>139</v>
      </c>
      <c r="AB87" s="2">
        <f t="shared" si="94"/>
        <v>65</v>
      </c>
      <c r="AC87" s="2">
        <f t="shared" si="94"/>
        <v>103</v>
      </c>
      <c r="AD87" s="10">
        <f t="shared" si="2"/>
        <v>38.5</v>
      </c>
      <c r="AE87" s="2">
        <v>199</v>
      </c>
      <c r="AF87" s="10">
        <f t="shared" si="3"/>
        <v>31</v>
      </c>
      <c r="AG87" s="2"/>
      <c r="AH87" s="2"/>
      <c r="AI87" s="41">
        <f t="shared" si="92"/>
        <v>108.75</v>
      </c>
      <c r="AJ87" s="10">
        <f t="shared" si="78"/>
        <v>0</v>
      </c>
      <c r="AK87" s="10">
        <f t="shared" si="6"/>
        <v>0</v>
      </c>
    </row>
    <row r="88" spans="1:37">
      <c r="A88" s="3">
        <v>70050</v>
      </c>
      <c r="B88" s="2" t="s">
        <v>167</v>
      </c>
      <c r="C88" s="3" t="s">
        <v>46</v>
      </c>
      <c r="D88" s="3" t="s">
        <v>46</v>
      </c>
      <c r="E88" s="3" t="s">
        <v>46</v>
      </c>
      <c r="F88" s="3"/>
      <c r="G88" s="3" t="s">
        <v>62</v>
      </c>
      <c r="H88" s="3"/>
      <c r="I88" s="3" t="s">
        <v>63</v>
      </c>
      <c r="J88" s="3" t="s">
        <v>49</v>
      </c>
      <c r="K88" s="4"/>
      <c r="L88" s="3"/>
      <c r="M88" s="4"/>
      <c r="N88" s="2">
        <v>5</v>
      </c>
      <c r="O88" s="5" t="s">
        <v>55</v>
      </c>
      <c r="P88" s="25">
        <v>76</v>
      </c>
      <c r="Q88" s="26">
        <f t="shared" si="0"/>
        <v>2394</v>
      </c>
      <c r="R88" s="27">
        <v>1.5</v>
      </c>
      <c r="S88" s="2"/>
      <c r="T88" s="2">
        <v>51</v>
      </c>
      <c r="U88" s="2"/>
      <c r="V88" s="10">
        <v>50247</v>
      </c>
      <c r="W88" s="10">
        <v>72670</v>
      </c>
      <c r="X88" s="10">
        <v>11</v>
      </c>
      <c r="Y88" s="10">
        <v>16</v>
      </c>
      <c r="Z88" s="2">
        <f t="shared" ref="Z88:AC88" si="95">_xlfn.RANK.EQ(V88,V$4:V$200)</f>
        <v>92</v>
      </c>
      <c r="AA88" s="2">
        <f t="shared" si="95"/>
        <v>76</v>
      </c>
      <c r="AB88" s="2">
        <f t="shared" si="95"/>
        <v>144</v>
      </c>
      <c r="AC88" s="2">
        <f t="shared" si="95"/>
        <v>147</v>
      </c>
      <c r="AD88" s="10">
        <f t="shared" si="2"/>
        <v>13.5</v>
      </c>
      <c r="AE88" s="2">
        <v>56</v>
      </c>
      <c r="AF88" s="10">
        <f t="shared" si="3"/>
        <v>16</v>
      </c>
      <c r="AG88" s="2">
        <v>40</v>
      </c>
      <c r="AH88" s="2"/>
      <c r="AI88" s="41">
        <f t="shared" si="92"/>
        <v>75</v>
      </c>
      <c r="AJ88" s="10">
        <f t="shared" si="78"/>
        <v>0</v>
      </c>
      <c r="AK88" s="10">
        <f t="shared" si="6"/>
        <v>0</v>
      </c>
    </row>
    <row r="89" spans="1:37">
      <c r="A89" s="3">
        <v>70010</v>
      </c>
      <c r="B89" s="2" t="s">
        <v>168</v>
      </c>
      <c r="C89" s="3" t="s">
        <v>46</v>
      </c>
      <c r="D89" s="3" t="s">
        <v>46</v>
      </c>
      <c r="E89" s="3" t="s">
        <v>60</v>
      </c>
      <c r="F89" s="3" t="s">
        <v>61</v>
      </c>
      <c r="G89" s="3" t="s">
        <v>62</v>
      </c>
      <c r="H89" s="3"/>
      <c r="I89" s="3" t="s">
        <v>63</v>
      </c>
      <c r="J89" s="3" t="s">
        <v>49</v>
      </c>
      <c r="K89" s="4"/>
      <c r="L89" s="3"/>
      <c r="M89" s="4"/>
      <c r="N89" s="2">
        <v>5</v>
      </c>
      <c r="O89" s="5" t="s">
        <v>55</v>
      </c>
      <c r="P89" s="25">
        <v>105.6</v>
      </c>
      <c r="Q89" s="26">
        <f t="shared" si="0"/>
        <v>3326.3999999999996</v>
      </c>
      <c r="R89" s="27">
        <v>1.5</v>
      </c>
      <c r="S89" s="2"/>
      <c r="T89" s="2">
        <v>51</v>
      </c>
      <c r="U89" s="2"/>
      <c r="V89" s="10">
        <v>12844</v>
      </c>
      <c r="W89" s="10">
        <v>38532</v>
      </c>
      <c r="X89" s="10">
        <v>2</v>
      </c>
      <c r="Y89" s="10">
        <v>6</v>
      </c>
      <c r="Z89" s="2">
        <f t="shared" ref="Z89:AC89" si="96">_xlfn.RANK.EQ(V89,V$4:V$200)</f>
        <v>156</v>
      </c>
      <c r="AA89" s="2">
        <f t="shared" si="96"/>
        <v>125</v>
      </c>
      <c r="AB89" s="2">
        <f t="shared" si="96"/>
        <v>173</v>
      </c>
      <c r="AC89" s="2">
        <f t="shared" si="96"/>
        <v>190</v>
      </c>
      <c r="AD89" s="10">
        <f t="shared" si="2"/>
        <v>4</v>
      </c>
      <c r="AE89" s="2">
        <v>72</v>
      </c>
      <c r="AF89" s="10">
        <f t="shared" si="3"/>
        <v>6</v>
      </c>
      <c r="AG89" s="2"/>
      <c r="AH89" s="2"/>
      <c r="AI89" s="41">
        <f t="shared" si="92"/>
        <v>60</v>
      </c>
      <c r="AJ89" s="10">
        <f t="shared" si="78"/>
        <v>0</v>
      </c>
      <c r="AK89" s="10">
        <f t="shared" si="6"/>
        <v>0</v>
      </c>
    </row>
    <row r="90" spans="1:37">
      <c r="A90" s="3">
        <v>70085</v>
      </c>
      <c r="B90" s="2" t="s">
        <v>169</v>
      </c>
      <c r="C90" s="3"/>
      <c r="D90" s="3" t="s">
        <v>46</v>
      </c>
      <c r="E90" s="3" t="s">
        <v>46</v>
      </c>
      <c r="F90" s="3"/>
      <c r="G90" s="3" t="s">
        <v>75</v>
      </c>
      <c r="H90" s="3"/>
      <c r="I90" s="3" t="s">
        <v>48</v>
      </c>
      <c r="J90" s="3" t="s">
        <v>49</v>
      </c>
      <c r="K90" s="4"/>
      <c r="L90" s="3"/>
      <c r="M90" s="4"/>
      <c r="N90" s="2">
        <v>5</v>
      </c>
      <c r="O90" s="5" t="s">
        <v>50</v>
      </c>
      <c r="P90" s="33">
        <v>1925</v>
      </c>
      <c r="Q90" s="26">
        <f t="shared" si="0"/>
        <v>1925</v>
      </c>
      <c r="R90" s="27">
        <v>1.5</v>
      </c>
      <c r="S90" s="2"/>
      <c r="T90" s="2">
        <v>51</v>
      </c>
      <c r="U90" s="2"/>
      <c r="V90" s="10">
        <v>250472</v>
      </c>
      <c r="W90" s="10">
        <v>317982</v>
      </c>
      <c r="X90" s="10">
        <v>82</v>
      </c>
      <c r="Y90" s="10">
        <v>104</v>
      </c>
      <c r="Z90" s="2">
        <f t="shared" ref="Z90:AC90" si="97">_xlfn.RANK.EQ(V90,V$4:V$200)</f>
        <v>6</v>
      </c>
      <c r="AA90" s="2">
        <f t="shared" si="97"/>
        <v>6</v>
      </c>
      <c r="AB90" s="2">
        <f t="shared" si="97"/>
        <v>34</v>
      </c>
      <c r="AC90" s="2">
        <f t="shared" si="97"/>
        <v>32</v>
      </c>
      <c r="AD90" s="10">
        <f t="shared" si="2"/>
        <v>93</v>
      </c>
      <c r="AE90" s="2">
        <v>458</v>
      </c>
      <c r="AF90" s="10">
        <f t="shared" si="3"/>
        <v>104</v>
      </c>
      <c r="AG90" s="2"/>
      <c r="AH90" s="2"/>
      <c r="AI90" s="41">
        <f t="shared" si="92"/>
        <v>207</v>
      </c>
      <c r="AJ90" s="10">
        <f t="shared" si="78"/>
        <v>0</v>
      </c>
      <c r="AK90" s="10">
        <f t="shared" si="6"/>
        <v>0</v>
      </c>
    </row>
    <row r="91" spans="1:37">
      <c r="A91" s="3">
        <v>70089</v>
      </c>
      <c r="B91" s="2" t="s">
        <v>170</v>
      </c>
      <c r="C91" s="3"/>
      <c r="D91" s="3" t="s">
        <v>46</v>
      </c>
      <c r="E91" s="3" t="s">
        <v>46</v>
      </c>
      <c r="F91" s="3"/>
      <c r="G91" s="3" t="s">
        <v>75</v>
      </c>
      <c r="H91" s="3"/>
      <c r="I91" s="3" t="s">
        <v>48</v>
      </c>
      <c r="J91" s="3" t="s">
        <v>49</v>
      </c>
      <c r="K91" s="4"/>
      <c r="L91" s="3"/>
      <c r="M91" s="4"/>
      <c r="N91" s="2">
        <v>5</v>
      </c>
      <c r="O91" s="5" t="s">
        <v>50</v>
      </c>
      <c r="P91" s="33">
        <v>1844</v>
      </c>
      <c r="Q91" s="26">
        <f t="shared" si="0"/>
        <v>1844</v>
      </c>
      <c r="R91" s="27">
        <v>1.5</v>
      </c>
      <c r="S91" s="2"/>
      <c r="T91" s="2">
        <v>51</v>
      </c>
      <c r="U91" s="2"/>
      <c r="V91" s="10">
        <v>176010</v>
      </c>
      <c r="W91" s="10">
        <v>145424</v>
      </c>
      <c r="X91" s="10">
        <v>60</v>
      </c>
      <c r="Y91" s="10">
        <v>50</v>
      </c>
      <c r="Z91" s="2">
        <f t="shared" ref="Z91:AC91" si="98">_xlfn.RANK.EQ(V91,V$4:V$200)</f>
        <v>13</v>
      </c>
      <c r="AA91" s="2">
        <f t="shared" si="98"/>
        <v>24</v>
      </c>
      <c r="AB91" s="2">
        <f t="shared" si="98"/>
        <v>52</v>
      </c>
      <c r="AC91" s="2">
        <f t="shared" si="98"/>
        <v>73</v>
      </c>
      <c r="AD91" s="10">
        <f t="shared" si="2"/>
        <v>55</v>
      </c>
      <c r="AE91" s="2">
        <v>488</v>
      </c>
      <c r="AF91" s="10">
        <f t="shared" si="3"/>
        <v>50</v>
      </c>
      <c r="AG91" s="2"/>
      <c r="AH91" s="2"/>
      <c r="AI91" s="41">
        <f t="shared" si="92"/>
        <v>133.5</v>
      </c>
      <c r="AJ91" s="10">
        <f t="shared" si="78"/>
        <v>0</v>
      </c>
      <c r="AK91" s="10">
        <f t="shared" si="6"/>
        <v>0</v>
      </c>
    </row>
    <row r="92" spans="1:37">
      <c r="A92" s="3">
        <v>70188</v>
      </c>
      <c r="B92" s="2" t="s">
        <v>171</v>
      </c>
      <c r="C92" s="3"/>
      <c r="D92" s="3" t="s">
        <v>46</v>
      </c>
      <c r="E92" s="3" t="s">
        <v>46</v>
      </c>
      <c r="F92" s="3"/>
      <c r="G92" s="3" t="s">
        <v>172</v>
      </c>
      <c r="H92" s="3"/>
      <c r="I92" s="3" t="s">
        <v>119</v>
      </c>
      <c r="J92" s="3" t="s">
        <v>49</v>
      </c>
      <c r="K92" s="32">
        <v>40</v>
      </c>
      <c r="L92" s="3"/>
      <c r="M92" s="4"/>
      <c r="N92" s="2">
        <v>5</v>
      </c>
      <c r="O92" s="5" t="s">
        <v>55</v>
      </c>
      <c r="P92" s="25">
        <v>15.99</v>
      </c>
      <c r="Q92" s="26">
        <f t="shared" si="0"/>
        <v>503.685</v>
      </c>
      <c r="R92" s="27">
        <v>1.5</v>
      </c>
      <c r="S92" s="2"/>
      <c r="T92" s="2">
        <v>51</v>
      </c>
      <c r="U92" s="2"/>
      <c r="V92" s="10">
        <v>24166</v>
      </c>
      <c r="W92" s="10">
        <v>35574</v>
      </c>
      <c r="X92" s="10">
        <v>25</v>
      </c>
      <c r="Y92" s="10">
        <v>37</v>
      </c>
      <c r="Z92" s="2">
        <f t="shared" ref="Z92:AC92" si="99">_xlfn.RANK.EQ(V92,V$4:V$200)</f>
        <v>131</v>
      </c>
      <c r="AA92" s="2">
        <f t="shared" si="99"/>
        <v>128</v>
      </c>
      <c r="AB92" s="2">
        <f t="shared" si="99"/>
        <v>106</v>
      </c>
      <c r="AC92" s="2">
        <f t="shared" si="99"/>
        <v>95</v>
      </c>
      <c r="AD92" s="10">
        <f t="shared" si="2"/>
        <v>31</v>
      </c>
      <c r="AE92" s="2">
        <v>176</v>
      </c>
      <c r="AF92" s="10">
        <f t="shared" si="3"/>
        <v>37</v>
      </c>
      <c r="AG92" s="2"/>
      <c r="AH92" s="2"/>
      <c r="AI92" s="41">
        <f t="shared" si="92"/>
        <v>106.5</v>
      </c>
      <c r="AJ92" s="10">
        <f t="shared" si="78"/>
        <v>0</v>
      </c>
      <c r="AK92" s="10">
        <f t="shared" si="6"/>
        <v>0</v>
      </c>
    </row>
    <row r="93" spans="1:37">
      <c r="A93" s="3">
        <v>70141</v>
      </c>
      <c r="B93" s="2" t="s">
        <v>173</v>
      </c>
      <c r="C93" s="3" t="s">
        <v>46</v>
      </c>
      <c r="D93" s="3" t="s">
        <v>46</v>
      </c>
      <c r="E93" s="3" t="s">
        <v>46</v>
      </c>
      <c r="F93" s="3"/>
      <c r="G93" s="3" t="s">
        <v>172</v>
      </c>
      <c r="H93" s="3"/>
      <c r="I93" s="3" t="s">
        <v>119</v>
      </c>
      <c r="J93" s="3" t="s">
        <v>49</v>
      </c>
      <c r="K93" s="32">
        <v>40</v>
      </c>
      <c r="L93" s="3"/>
      <c r="M93" s="4"/>
      <c r="N93" s="2">
        <v>5</v>
      </c>
      <c r="O93" s="5" t="s">
        <v>55</v>
      </c>
      <c r="P93" s="25">
        <v>25.99</v>
      </c>
      <c r="Q93" s="26">
        <f t="shared" si="0"/>
        <v>818.68499999999995</v>
      </c>
      <c r="R93" s="27">
        <v>1.5</v>
      </c>
      <c r="S93" s="2"/>
      <c r="T93" s="2">
        <v>153</v>
      </c>
      <c r="U93" s="2"/>
      <c r="V93" s="10">
        <v>194065</v>
      </c>
      <c r="W93" s="10">
        <v>270746</v>
      </c>
      <c r="X93" s="10">
        <v>134</v>
      </c>
      <c r="Y93" s="10">
        <v>188</v>
      </c>
      <c r="Z93" s="2">
        <f t="shared" ref="Z93:AC93" si="100">_xlfn.RANK.EQ(V93,V$4:V$200)</f>
        <v>10</v>
      </c>
      <c r="AA93" s="2">
        <f t="shared" si="100"/>
        <v>8</v>
      </c>
      <c r="AB93" s="2">
        <f t="shared" si="100"/>
        <v>18</v>
      </c>
      <c r="AC93" s="2">
        <f t="shared" si="100"/>
        <v>11</v>
      </c>
      <c r="AD93" s="10">
        <f t="shared" si="2"/>
        <v>161</v>
      </c>
      <c r="AE93" s="2">
        <v>363</v>
      </c>
      <c r="AF93" s="10">
        <f t="shared" si="3"/>
        <v>188</v>
      </c>
      <c r="AG93" s="2">
        <v>450</v>
      </c>
      <c r="AH93" s="2"/>
      <c r="AI93" s="41">
        <f t="shared" si="92"/>
        <v>435</v>
      </c>
      <c r="AJ93" s="10">
        <f t="shared" si="78"/>
        <v>0</v>
      </c>
      <c r="AK93" s="10">
        <f t="shared" si="6"/>
        <v>0</v>
      </c>
    </row>
    <row r="94" spans="1:37">
      <c r="A94" s="3">
        <v>70193</v>
      </c>
      <c r="B94" s="2" t="s">
        <v>174</v>
      </c>
      <c r="C94" s="3"/>
      <c r="D94" s="3" t="s">
        <v>46</v>
      </c>
      <c r="E94" s="3" t="s">
        <v>46</v>
      </c>
      <c r="F94" s="3" t="s">
        <v>61</v>
      </c>
      <c r="G94" s="3" t="s">
        <v>175</v>
      </c>
      <c r="H94" s="3"/>
      <c r="I94" s="3" t="s">
        <v>176</v>
      </c>
      <c r="J94" s="3" t="s">
        <v>49</v>
      </c>
      <c r="K94" s="4"/>
      <c r="L94" s="3"/>
      <c r="M94" s="4"/>
      <c r="N94" s="2">
        <v>5</v>
      </c>
      <c r="O94" s="5" t="s">
        <v>177</v>
      </c>
      <c r="P94" s="33">
        <v>2250</v>
      </c>
      <c r="Q94" s="26">
        <f t="shared" si="0"/>
        <v>450</v>
      </c>
      <c r="R94" s="27">
        <v>1.5</v>
      </c>
      <c r="S94" s="2"/>
      <c r="T94" s="2">
        <v>51</v>
      </c>
      <c r="U94" s="2"/>
      <c r="V94" s="10">
        <v>46898</v>
      </c>
      <c r="W94" s="10">
        <v>43217</v>
      </c>
      <c r="X94" s="10">
        <v>34</v>
      </c>
      <c r="Y94" s="10">
        <v>31</v>
      </c>
      <c r="Z94" s="2">
        <f t="shared" ref="Z94:AC94" si="101">_xlfn.RANK.EQ(V94,V$4:V$200)</f>
        <v>98</v>
      </c>
      <c r="AA94" s="2">
        <f t="shared" si="101"/>
        <v>117</v>
      </c>
      <c r="AB94" s="2">
        <f t="shared" si="101"/>
        <v>89</v>
      </c>
      <c r="AC94" s="2">
        <f t="shared" si="101"/>
        <v>103</v>
      </c>
      <c r="AD94" s="10">
        <f t="shared" si="2"/>
        <v>32.5</v>
      </c>
      <c r="AE94" s="2">
        <v>315</v>
      </c>
      <c r="AF94" s="10">
        <f t="shared" si="3"/>
        <v>31</v>
      </c>
      <c r="AG94" s="2"/>
      <c r="AH94" s="2"/>
      <c r="AI94" s="41">
        <f t="shared" si="92"/>
        <v>99.75</v>
      </c>
      <c r="AJ94" s="10">
        <f t="shared" si="78"/>
        <v>0</v>
      </c>
      <c r="AK94" s="10">
        <f t="shared" si="6"/>
        <v>0</v>
      </c>
    </row>
    <row r="95" spans="1:37">
      <c r="A95" s="3">
        <v>30064</v>
      </c>
      <c r="B95" s="2" t="s">
        <v>178</v>
      </c>
      <c r="C95" s="3" t="s">
        <v>46</v>
      </c>
      <c r="D95" s="3" t="s">
        <v>46</v>
      </c>
      <c r="E95" s="3" t="s">
        <v>46</v>
      </c>
      <c r="F95" s="3"/>
      <c r="G95" s="3" t="s">
        <v>52</v>
      </c>
      <c r="H95" s="3"/>
      <c r="I95" s="3" t="s">
        <v>54</v>
      </c>
      <c r="J95" s="3" t="s">
        <v>49</v>
      </c>
      <c r="K95" s="4"/>
      <c r="L95" s="3"/>
      <c r="M95" s="4"/>
      <c r="N95" s="2">
        <v>5</v>
      </c>
      <c r="O95" s="5" t="s">
        <v>55</v>
      </c>
      <c r="P95" s="25">
        <v>82.48</v>
      </c>
      <c r="Q95" s="26">
        <f t="shared" si="0"/>
        <v>2598.1200000000003</v>
      </c>
      <c r="R95" s="27">
        <v>2</v>
      </c>
      <c r="S95" s="2"/>
      <c r="T95" s="2">
        <v>51</v>
      </c>
      <c r="U95" s="2"/>
      <c r="V95" s="10">
        <v>34747</v>
      </c>
      <c r="W95" s="10">
        <v>47234</v>
      </c>
      <c r="X95" s="10">
        <v>8</v>
      </c>
      <c r="Y95" s="10">
        <v>11</v>
      </c>
      <c r="Z95" s="2">
        <f t="shared" ref="Z95:AC95" si="102">_xlfn.RANK.EQ(V95,V$4:V$200)</f>
        <v>111</v>
      </c>
      <c r="AA95" s="2">
        <f t="shared" si="102"/>
        <v>112</v>
      </c>
      <c r="AB95" s="2">
        <f t="shared" si="102"/>
        <v>155</v>
      </c>
      <c r="AC95" s="2">
        <f t="shared" si="102"/>
        <v>166</v>
      </c>
      <c r="AD95" s="10">
        <f t="shared" si="2"/>
        <v>9.5</v>
      </c>
      <c r="AE95" s="2">
        <v>75</v>
      </c>
      <c r="AF95" s="10">
        <f t="shared" si="3"/>
        <v>11</v>
      </c>
      <c r="AG95" s="2"/>
      <c r="AH95" s="2"/>
      <c r="AI95" s="41">
        <f t="shared" si="92"/>
        <v>67.5</v>
      </c>
      <c r="AJ95" s="10">
        <f t="shared" si="78"/>
        <v>5</v>
      </c>
      <c r="AK95" s="10">
        <f t="shared" si="6"/>
        <v>12990.600000000002</v>
      </c>
    </row>
    <row r="96" spans="1:37">
      <c r="A96" s="3">
        <v>70120</v>
      </c>
      <c r="B96" s="2" t="s">
        <v>179</v>
      </c>
      <c r="C96" s="3"/>
      <c r="D96" s="3" t="s">
        <v>46</v>
      </c>
      <c r="E96" s="3" t="s">
        <v>46</v>
      </c>
      <c r="F96" s="3"/>
      <c r="G96" s="3" t="s">
        <v>75</v>
      </c>
      <c r="H96" s="3"/>
      <c r="I96" s="3" t="s">
        <v>48</v>
      </c>
      <c r="J96" s="3" t="s">
        <v>49</v>
      </c>
      <c r="K96" s="4"/>
      <c r="L96" s="3"/>
      <c r="M96" s="4"/>
      <c r="N96" s="2">
        <v>5</v>
      </c>
      <c r="O96" s="5" t="s">
        <v>55</v>
      </c>
      <c r="P96" s="25">
        <v>36.5</v>
      </c>
      <c r="Q96" s="26">
        <f t="shared" si="0"/>
        <v>1149.75</v>
      </c>
      <c r="R96" s="27">
        <v>1.5</v>
      </c>
      <c r="S96" s="2"/>
      <c r="T96" s="2">
        <v>51</v>
      </c>
      <c r="U96" s="2"/>
      <c r="V96" s="10">
        <v>21432</v>
      </c>
      <c r="W96" s="10">
        <v>10880</v>
      </c>
      <c r="X96" s="10">
        <v>12</v>
      </c>
      <c r="Y96" s="10">
        <v>6</v>
      </c>
      <c r="Z96" s="2">
        <f t="shared" ref="Z96:AC96" si="103">_xlfn.RANK.EQ(V96,V$4:V$200)</f>
        <v>138</v>
      </c>
      <c r="AA96" s="2">
        <f t="shared" si="103"/>
        <v>183</v>
      </c>
      <c r="AB96" s="2">
        <f t="shared" si="103"/>
        <v>140</v>
      </c>
      <c r="AC96" s="2">
        <f t="shared" si="103"/>
        <v>190</v>
      </c>
      <c r="AD96" s="10">
        <f t="shared" si="2"/>
        <v>9</v>
      </c>
      <c r="AE96" s="2">
        <v>237</v>
      </c>
      <c r="AF96" s="10">
        <f t="shared" si="3"/>
        <v>6</v>
      </c>
      <c r="AG96" s="2"/>
      <c r="AH96" s="2"/>
      <c r="AI96" s="41">
        <f t="shared" si="92"/>
        <v>64.5</v>
      </c>
      <c r="AJ96" s="10">
        <f t="shared" si="78"/>
        <v>0</v>
      </c>
      <c r="AK96" s="10">
        <f t="shared" si="6"/>
        <v>0</v>
      </c>
    </row>
    <row r="97" spans="1:37">
      <c r="A97" s="3">
        <v>70092</v>
      </c>
      <c r="B97" s="2" t="s">
        <v>180</v>
      </c>
      <c r="C97" s="3" t="s">
        <v>46</v>
      </c>
      <c r="D97" s="3" t="s">
        <v>46</v>
      </c>
      <c r="E97" s="3" t="s">
        <v>46</v>
      </c>
      <c r="F97" s="3"/>
      <c r="G97" s="3" t="s">
        <v>181</v>
      </c>
      <c r="H97" s="3"/>
      <c r="I97" s="3" t="s">
        <v>54</v>
      </c>
      <c r="J97" s="3" t="s">
        <v>49</v>
      </c>
      <c r="K97" s="4"/>
      <c r="L97" s="3"/>
      <c r="M97" s="4"/>
      <c r="N97" s="2">
        <v>5</v>
      </c>
      <c r="O97" s="5" t="s">
        <v>55</v>
      </c>
      <c r="P97" s="25">
        <v>30</v>
      </c>
      <c r="Q97" s="26">
        <f t="shared" si="0"/>
        <v>945</v>
      </c>
      <c r="R97" s="27">
        <v>1.5</v>
      </c>
      <c r="S97" s="2"/>
      <c r="T97" s="2">
        <v>51</v>
      </c>
      <c r="U97" s="2"/>
      <c r="V97" s="10">
        <v>27405</v>
      </c>
      <c r="W97" s="10">
        <v>28869</v>
      </c>
      <c r="X97" s="10">
        <v>15</v>
      </c>
      <c r="Y97" s="10">
        <v>16</v>
      </c>
      <c r="Z97" s="2">
        <f t="shared" ref="Z97:AC97" si="104">_xlfn.RANK.EQ(V97,V$4:V$200)</f>
        <v>125</v>
      </c>
      <c r="AA97" s="2">
        <f t="shared" si="104"/>
        <v>144</v>
      </c>
      <c r="AB97" s="2">
        <f t="shared" si="104"/>
        <v>126</v>
      </c>
      <c r="AC97" s="2">
        <f t="shared" si="104"/>
        <v>147</v>
      </c>
      <c r="AD97" s="10">
        <f t="shared" si="2"/>
        <v>15.5</v>
      </c>
      <c r="AE97" s="2">
        <v>166</v>
      </c>
      <c r="AF97" s="10">
        <f t="shared" si="3"/>
        <v>16</v>
      </c>
      <c r="AG97" s="2"/>
      <c r="AH97" s="2"/>
      <c r="AI97" s="41">
        <f t="shared" si="92"/>
        <v>75</v>
      </c>
      <c r="AJ97" s="10">
        <f t="shared" si="78"/>
        <v>0</v>
      </c>
      <c r="AK97" s="10">
        <f t="shared" si="6"/>
        <v>0</v>
      </c>
    </row>
    <row r="98" spans="1:37">
      <c r="A98" s="3">
        <v>70071</v>
      </c>
      <c r="B98" s="2" t="s">
        <v>182</v>
      </c>
      <c r="C98" s="3" t="s">
        <v>46</v>
      </c>
      <c r="D98" s="3" t="s">
        <v>46</v>
      </c>
      <c r="E98" s="3" t="s">
        <v>60</v>
      </c>
      <c r="F98" s="3" t="s">
        <v>61</v>
      </c>
      <c r="G98" s="3" t="s">
        <v>52</v>
      </c>
      <c r="H98" s="3"/>
      <c r="I98" s="3" t="s">
        <v>54</v>
      </c>
      <c r="J98" s="3" t="s">
        <v>49</v>
      </c>
      <c r="K98" s="4"/>
      <c r="L98" s="3"/>
      <c r="M98" s="4"/>
      <c r="N98" s="2">
        <v>5</v>
      </c>
      <c r="O98" s="5" t="s">
        <v>55</v>
      </c>
      <c r="P98" s="25">
        <v>51.85</v>
      </c>
      <c r="Q98" s="26">
        <f t="shared" si="0"/>
        <v>1633.2750000000001</v>
      </c>
      <c r="R98" s="27">
        <v>2</v>
      </c>
      <c r="S98" s="2"/>
      <c r="T98" s="2">
        <v>51</v>
      </c>
      <c r="U98" s="2"/>
      <c r="V98" s="10">
        <v>2690</v>
      </c>
      <c r="W98" s="10">
        <v>5628</v>
      </c>
      <c r="X98" s="10">
        <v>1</v>
      </c>
      <c r="Y98" s="10">
        <v>2</v>
      </c>
      <c r="Z98" s="2">
        <f t="shared" ref="Z98:AC98" si="105">_xlfn.RANK.EQ(V98,V$4:V$200)</f>
        <v>167</v>
      </c>
      <c r="AA98" s="2">
        <f t="shared" si="105"/>
        <v>187</v>
      </c>
      <c r="AB98" s="2">
        <f t="shared" si="105"/>
        <v>174</v>
      </c>
      <c r="AC98" s="2">
        <f t="shared" si="105"/>
        <v>197</v>
      </c>
      <c r="AD98" s="10">
        <f t="shared" si="2"/>
        <v>1.5</v>
      </c>
      <c r="AE98" s="2">
        <v>281</v>
      </c>
      <c r="AF98" s="10">
        <f t="shared" si="3"/>
        <v>2</v>
      </c>
      <c r="AG98" s="2"/>
      <c r="AH98" s="2"/>
      <c r="AI98" s="41">
        <f t="shared" si="92"/>
        <v>54</v>
      </c>
      <c r="AJ98" s="10">
        <f t="shared" si="78"/>
        <v>0</v>
      </c>
      <c r="AK98" s="10">
        <f t="shared" si="6"/>
        <v>0</v>
      </c>
    </row>
    <row r="99" spans="1:37">
      <c r="A99" s="3">
        <v>70147</v>
      </c>
      <c r="B99" s="2" t="s">
        <v>183</v>
      </c>
      <c r="C99" s="3" t="s">
        <v>46</v>
      </c>
      <c r="D99" s="3" t="s">
        <v>46</v>
      </c>
      <c r="E99" s="3" t="s">
        <v>60</v>
      </c>
      <c r="F99" s="3" t="s">
        <v>61</v>
      </c>
      <c r="G99" s="3" t="s">
        <v>184</v>
      </c>
      <c r="H99" s="3"/>
      <c r="I99" s="3" t="s">
        <v>54</v>
      </c>
      <c r="J99" s="3" t="s">
        <v>115</v>
      </c>
      <c r="K99" s="4"/>
      <c r="L99" s="3"/>
      <c r="M99" s="4"/>
      <c r="N99" s="2">
        <v>5</v>
      </c>
      <c r="O99" s="5" t="s">
        <v>50</v>
      </c>
      <c r="P99" s="25">
        <v>592</v>
      </c>
      <c r="Q99" s="26">
        <f t="shared" si="0"/>
        <v>592</v>
      </c>
      <c r="R99" s="27">
        <v>1.5</v>
      </c>
      <c r="S99" s="2"/>
      <c r="T99" s="2">
        <v>102</v>
      </c>
      <c r="U99" s="2"/>
      <c r="V99" s="10">
        <v>74968</v>
      </c>
      <c r="W99" s="10">
        <v>98565</v>
      </c>
      <c r="X99" s="10">
        <v>83</v>
      </c>
      <c r="Y99" s="10">
        <v>109</v>
      </c>
      <c r="Z99" s="2">
        <f t="shared" ref="Z99:AC99" si="106">_xlfn.RANK.EQ(V99,V$4:V$200)</f>
        <v>55</v>
      </c>
      <c r="AA99" s="2">
        <f t="shared" si="106"/>
        <v>52</v>
      </c>
      <c r="AB99" s="2">
        <f t="shared" si="106"/>
        <v>33</v>
      </c>
      <c r="AC99" s="2">
        <f t="shared" si="106"/>
        <v>30</v>
      </c>
      <c r="AD99" s="10">
        <f t="shared" si="2"/>
        <v>96</v>
      </c>
      <c r="AE99" s="2">
        <v>175</v>
      </c>
      <c r="AF99" s="10">
        <f t="shared" si="3"/>
        <v>109</v>
      </c>
      <c r="AG99" s="2"/>
      <c r="AH99" s="2">
        <v>0</v>
      </c>
      <c r="AI99" s="41">
        <f t="shared" si="92"/>
        <v>265.5</v>
      </c>
      <c r="AJ99" s="10">
        <f t="shared" si="78"/>
        <v>0</v>
      </c>
      <c r="AK99" s="10">
        <f t="shared" si="6"/>
        <v>0</v>
      </c>
    </row>
    <row r="100" spans="1:37">
      <c r="A100" s="3">
        <v>70146</v>
      </c>
      <c r="B100" s="2" t="s">
        <v>185</v>
      </c>
      <c r="C100" s="3" t="s">
        <v>46</v>
      </c>
      <c r="D100" s="3" t="s">
        <v>46</v>
      </c>
      <c r="E100" s="3" t="s">
        <v>60</v>
      </c>
      <c r="F100" s="3" t="s">
        <v>61</v>
      </c>
      <c r="G100" s="3" t="s">
        <v>184</v>
      </c>
      <c r="H100" s="3"/>
      <c r="I100" s="3" t="s">
        <v>54</v>
      </c>
      <c r="J100" s="3" t="s">
        <v>115</v>
      </c>
      <c r="K100" s="4"/>
      <c r="L100" s="3"/>
      <c r="M100" s="4"/>
      <c r="N100" s="2">
        <v>5</v>
      </c>
      <c r="O100" s="5" t="s">
        <v>50</v>
      </c>
      <c r="P100" s="25">
        <v>596</v>
      </c>
      <c r="Q100" s="26">
        <f t="shared" si="0"/>
        <v>596</v>
      </c>
      <c r="R100" s="27">
        <v>1.5</v>
      </c>
      <c r="S100" s="2"/>
      <c r="T100" s="2">
        <v>51</v>
      </c>
      <c r="U100" s="2"/>
      <c r="V100" s="10">
        <v>49359</v>
      </c>
      <c r="W100" s="10">
        <v>49056</v>
      </c>
      <c r="X100" s="10">
        <v>54</v>
      </c>
      <c r="Y100" s="10">
        <v>54</v>
      </c>
      <c r="Z100" s="2">
        <f t="shared" ref="Z100:AC100" si="107">_xlfn.RANK.EQ(V100,V$4:V$200)</f>
        <v>94</v>
      </c>
      <c r="AA100" s="2">
        <f t="shared" si="107"/>
        <v>107</v>
      </c>
      <c r="AB100" s="2">
        <f t="shared" si="107"/>
        <v>57</v>
      </c>
      <c r="AC100" s="2">
        <f t="shared" si="107"/>
        <v>67</v>
      </c>
      <c r="AD100" s="10">
        <f t="shared" si="2"/>
        <v>54</v>
      </c>
      <c r="AE100" s="2">
        <v>244</v>
      </c>
      <c r="AF100" s="10">
        <f t="shared" si="3"/>
        <v>54</v>
      </c>
      <c r="AG100" s="2"/>
      <c r="AH100" s="2">
        <v>0</v>
      </c>
      <c r="AI100" s="41">
        <f t="shared" si="92"/>
        <v>132</v>
      </c>
      <c r="AJ100" s="10">
        <f t="shared" si="78"/>
        <v>0</v>
      </c>
      <c r="AK100" s="10">
        <f t="shared" si="6"/>
        <v>0</v>
      </c>
    </row>
    <row r="101" spans="1:37">
      <c r="A101" s="3">
        <v>70032</v>
      </c>
      <c r="B101" s="2" t="s">
        <v>186</v>
      </c>
      <c r="C101" s="3" t="s">
        <v>46</v>
      </c>
      <c r="D101" s="3" t="s">
        <v>46</v>
      </c>
      <c r="E101" s="3" t="s">
        <v>46</v>
      </c>
      <c r="F101" s="3"/>
      <c r="G101" s="3" t="s">
        <v>187</v>
      </c>
      <c r="H101" s="3"/>
      <c r="I101" s="3" t="s">
        <v>176</v>
      </c>
      <c r="J101" s="3" t="s">
        <v>49</v>
      </c>
      <c r="K101" s="4"/>
      <c r="L101" s="3" t="s">
        <v>55</v>
      </c>
      <c r="M101" s="4">
        <v>5000</v>
      </c>
      <c r="N101" s="2">
        <v>5</v>
      </c>
      <c r="O101" s="5" t="s">
        <v>55</v>
      </c>
      <c r="P101" s="25">
        <v>79.5</v>
      </c>
      <c r="Q101" s="26">
        <f t="shared" si="0"/>
        <v>2504.25</v>
      </c>
      <c r="R101" s="27">
        <v>1.5</v>
      </c>
      <c r="S101" s="2"/>
      <c r="T101" s="2">
        <v>51</v>
      </c>
      <c r="U101" s="2"/>
      <c r="V101" s="10">
        <v>17572</v>
      </c>
      <c r="W101" s="10">
        <v>17976</v>
      </c>
      <c r="X101" s="10">
        <v>4</v>
      </c>
      <c r="Y101" s="10">
        <v>4</v>
      </c>
      <c r="Z101" s="2">
        <f t="shared" ref="Z101:AC101" si="108">_xlfn.RANK.EQ(V101,V$4:V$200)</f>
        <v>146</v>
      </c>
      <c r="AA101" s="2">
        <f t="shared" si="108"/>
        <v>166</v>
      </c>
      <c r="AB101" s="2">
        <f t="shared" si="108"/>
        <v>167</v>
      </c>
      <c r="AC101" s="2">
        <f t="shared" si="108"/>
        <v>193</v>
      </c>
      <c r="AD101" s="10">
        <f t="shared" si="2"/>
        <v>4</v>
      </c>
      <c r="AE101" s="2">
        <v>164</v>
      </c>
      <c r="AF101" s="10">
        <f t="shared" si="3"/>
        <v>4</v>
      </c>
      <c r="AG101" s="2"/>
      <c r="AH101" s="2"/>
      <c r="AI101" s="41">
        <f t="shared" si="92"/>
        <v>57</v>
      </c>
      <c r="AJ101" s="10">
        <f t="shared" si="78"/>
        <v>0</v>
      </c>
      <c r="AK101" s="10">
        <f t="shared" si="6"/>
        <v>0</v>
      </c>
    </row>
    <row r="102" spans="1:37">
      <c r="A102" s="3">
        <v>70192</v>
      </c>
      <c r="B102" s="2" t="s">
        <v>188</v>
      </c>
      <c r="C102" s="3"/>
      <c r="D102" s="3" t="s">
        <v>46</v>
      </c>
      <c r="E102" s="3" t="s">
        <v>46</v>
      </c>
      <c r="F102" s="3" t="s">
        <v>61</v>
      </c>
      <c r="G102" s="3" t="s">
        <v>189</v>
      </c>
      <c r="H102" s="3"/>
      <c r="I102" s="3" t="s">
        <v>63</v>
      </c>
      <c r="J102" s="3" t="s">
        <v>115</v>
      </c>
      <c r="K102" s="4"/>
      <c r="L102" s="3"/>
      <c r="M102" s="4"/>
      <c r="N102" s="2">
        <v>5</v>
      </c>
      <c r="O102" s="5" t="s">
        <v>50</v>
      </c>
      <c r="P102" s="25">
        <v>381</v>
      </c>
      <c r="Q102" s="26">
        <f t="shared" si="0"/>
        <v>381</v>
      </c>
      <c r="R102" s="27">
        <v>1.5</v>
      </c>
      <c r="S102" s="2"/>
      <c r="T102" s="2">
        <v>51</v>
      </c>
      <c r="U102" s="2"/>
      <c r="V102" s="10">
        <v>12878</v>
      </c>
      <c r="W102" s="10">
        <v>16567</v>
      </c>
      <c r="X102" s="10">
        <v>20</v>
      </c>
      <c r="Y102" s="10">
        <v>26</v>
      </c>
      <c r="Z102" s="2">
        <f t="shared" ref="Z102:AC102" si="109">_xlfn.RANK.EQ(V102,V$4:V$200)</f>
        <v>155</v>
      </c>
      <c r="AA102" s="2">
        <f t="shared" si="109"/>
        <v>170</v>
      </c>
      <c r="AB102" s="2">
        <f t="shared" si="109"/>
        <v>115</v>
      </c>
      <c r="AC102" s="2">
        <f t="shared" si="109"/>
        <v>113</v>
      </c>
      <c r="AD102" s="10">
        <f t="shared" si="2"/>
        <v>23</v>
      </c>
      <c r="AE102" s="2">
        <v>276</v>
      </c>
      <c r="AF102" s="10">
        <f t="shared" si="3"/>
        <v>26</v>
      </c>
      <c r="AG102" s="2"/>
      <c r="AH102" s="2">
        <v>0</v>
      </c>
      <c r="AI102" s="41">
        <f t="shared" si="92"/>
        <v>90</v>
      </c>
      <c r="AJ102" s="10">
        <f t="shared" si="78"/>
        <v>0</v>
      </c>
      <c r="AK102" s="10">
        <f t="shared" si="6"/>
        <v>0</v>
      </c>
    </row>
    <row r="103" spans="1:37">
      <c r="A103" s="3">
        <v>40044</v>
      </c>
      <c r="B103" s="2" t="s">
        <v>190</v>
      </c>
      <c r="C103" s="3" t="s">
        <v>46</v>
      </c>
      <c r="D103" s="3" t="s">
        <v>46</v>
      </c>
      <c r="E103" s="3" t="s">
        <v>46</v>
      </c>
      <c r="F103" s="3"/>
      <c r="G103" s="3" t="s">
        <v>191</v>
      </c>
      <c r="H103" s="3"/>
      <c r="I103" s="3" t="s">
        <v>54</v>
      </c>
      <c r="J103" s="3" t="s">
        <v>49</v>
      </c>
      <c r="K103" s="4"/>
      <c r="L103" s="3"/>
      <c r="M103" s="4"/>
      <c r="N103" s="2">
        <v>5</v>
      </c>
      <c r="O103" s="5" t="s">
        <v>55</v>
      </c>
      <c r="P103" s="25">
        <v>71.400000000000006</v>
      </c>
      <c r="Q103" s="26">
        <f t="shared" si="0"/>
        <v>2249.1000000000004</v>
      </c>
      <c r="R103" s="27">
        <v>4</v>
      </c>
      <c r="S103" s="2"/>
      <c r="T103" s="2">
        <v>51</v>
      </c>
      <c r="U103" s="2"/>
      <c r="V103" s="10">
        <v>141804</v>
      </c>
      <c r="W103" s="10">
        <v>195027</v>
      </c>
      <c r="X103" s="10">
        <v>27</v>
      </c>
      <c r="Y103" s="10">
        <v>37</v>
      </c>
      <c r="Z103" s="2">
        <f t="shared" ref="Z103:AC103" si="110">_xlfn.RANK.EQ(V103,V$4:V$200)</f>
        <v>17</v>
      </c>
      <c r="AA103" s="2">
        <f t="shared" si="110"/>
        <v>12</v>
      </c>
      <c r="AB103" s="2">
        <f t="shared" si="110"/>
        <v>100</v>
      </c>
      <c r="AC103" s="2">
        <f t="shared" si="110"/>
        <v>95</v>
      </c>
      <c r="AD103" s="10">
        <f t="shared" si="2"/>
        <v>32</v>
      </c>
      <c r="AE103" s="2">
        <v>124</v>
      </c>
      <c r="AF103" s="10">
        <f t="shared" si="3"/>
        <v>37</v>
      </c>
      <c r="AG103" s="2"/>
      <c r="AH103" s="2">
        <v>35</v>
      </c>
      <c r="AI103" s="41">
        <f t="shared" si="92"/>
        <v>106.5</v>
      </c>
      <c r="AJ103" s="10">
        <f t="shared" si="78"/>
        <v>0</v>
      </c>
      <c r="AK103" s="10">
        <f t="shared" si="6"/>
        <v>0</v>
      </c>
    </row>
    <row r="104" spans="1:37">
      <c r="A104" s="3">
        <v>40025</v>
      </c>
      <c r="B104" s="2" t="s">
        <v>192</v>
      </c>
      <c r="C104" s="3" t="s">
        <v>46</v>
      </c>
      <c r="D104" s="3" t="s">
        <v>46</v>
      </c>
      <c r="E104" s="3" t="s">
        <v>46</v>
      </c>
      <c r="F104" s="3"/>
      <c r="G104" s="3" t="s">
        <v>191</v>
      </c>
      <c r="H104" s="3"/>
      <c r="I104" s="3" t="s">
        <v>54</v>
      </c>
      <c r="J104" s="3" t="s">
        <v>49</v>
      </c>
      <c r="K104" s="4"/>
      <c r="L104" s="3"/>
      <c r="M104" s="4"/>
      <c r="N104" s="2">
        <v>5</v>
      </c>
      <c r="O104" s="5" t="s">
        <v>55</v>
      </c>
      <c r="P104" s="25">
        <v>143.5</v>
      </c>
      <c r="Q104" s="26">
        <f t="shared" si="0"/>
        <v>4520.25</v>
      </c>
      <c r="R104" s="27">
        <v>4</v>
      </c>
      <c r="S104" s="2"/>
      <c r="T104" s="2">
        <v>51</v>
      </c>
      <c r="U104" s="2"/>
      <c r="V104" s="10">
        <v>52630</v>
      </c>
      <c r="W104" s="10">
        <v>105260</v>
      </c>
      <c r="X104" s="10">
        <v>5</v>
      </c>
      <c r="Y104" s="10">
        <v>10</v>
      </c>
      <c r="Z104" s="2">
        <f t="shared" ref="Z104:AC104" si="111">_xlfn.RANK.EQ(V104,V$4:V$200)</f>
        <v>87</v>
      </c>
      <c r="AA104" s="2">
        <f t="shared" si="111"/>
        <v>47</v>
      </c>
      <c r="AB104" s="2">
        <f t="shared" si="111"/>
        <v>165</v>
      </c>
      <c r="AC104" s="2">
        <f t="shared" si="111"/>
        <v>170</v>
      </c>
      <c r="AD104" s="10">
        <f t="shared" si="2"/>
        <v>7.5</v>
      </c>
      <c r="AE104" s="2">
        <v>143</v>
      </c>
      <c r="AF104" s="10">
        <f t="shared" si="3"/>
        <v>10</v>
      </c>
      <c r="AG104" s="2"/>
      <c r="AH104" s="2"/>
      <c r="AI104" s="41">
        <f t="shared" si="92"/>
        <v>66</v>
      </c>
      <c r="AJ104" s="10">
        <f t="shared" si="78"/>
        <v>0</v>
      </c>
      <c r="AK104" s="10">
        <f t="shared" si="6"/>
        <v>0</v>
      </c>
    </row>
    <row r="105" spans="1:37">
      <c r="A105" s="3">
        <v>40018</v>
      </c>
      <c r="B105" s="2" t="s">
        <v>193</v>
      </c>
      <c r="C105" s="3" t="s">
        <v>46</v>
      </c>
      <c r="D105" s="3" t="s">
        <v>46</v>
      </c>
      <c r="E105" s="3" t="s">
        <v>46</v>
      </c>
      <c r="F105" s="3"/>
      <c r="G105" s="3" t="s">
        <v>191</v>
      </c>
      <c r="H105" s="3"/>
      <c r="I105" s="3" t="s">
        <v>54</v>
      </c>
      <c r="J105" s="3" t="s">
        <v>49</v>
      </c>
      <c r="K105" s="4"/>
      <c r="L105" s="3"/>
      <c r="M105" s="4"/>
      <c r="N105" s="2">
        <v>5</v>
      </c>
      <c r="O105" s="5" t="s">
        <v>55</v>
      </c>
      <c r="P105" s="25">
        <v>191.07</v>
      </c>
      <c r="Q105" s="26">
        <f t="shared" si="0"/>
        <v>6018.7049999999999</v>
      </c>
      <c r="R105" s="27">
        <v>4</v>
      </c>
      <c r="S105" s="2"/>
      <c r="T105" s="2">
        <v>102</v>
      </c>
      <c r="U105" s="2"/>
      <c r="V105" s="10">
        <v>127224</v>
      </c>
      <c r="W105" s="10">
        <v>141360</v>
      </c>
      <c r="X105" s="10">
        <v>9</v>
      </c>
      <c r="Y105" s="10">
        <v>10</v>
      </c>
      <c r="Z105" s="2">
        <f t="shared" ref="Z105:AC105" si="112">_xlfn.RANK.EQ(V105,V$4:V$200)</f>
        <v>23</v>
      </c>
      <c r="AA105" s="2">
        <f t="shared" si="112"/>
        <v>27</v>
      </c>
      <c r="AB105" s="2">
        <f t="shared" si="112"/>
        <v>150</v>
      </c>
      <c r="AC105" s="2">
        <f t="shared" si="112"/>
        <v>170</v>
      </c>
      <c r="AD105" s="10">
        <f t="shared" si="2"/>
        <v>9.5</v>
      </c>
      <c r="AE105" s="2">
        <v>239</v>
      </c>
      <c r="AF105" s="10">
        <f t="shared" si="3"/>
        <v>10</v>
      </c>
      <c r="AG105" s="2"/>
      <c r="AH105" s="2"/>
      <c r="AI105" s="41">
        <f t="shared" si="92"/>
        <v>117</v>
      </c>
      <c r="AJ105" s="10">
        <f t="shared" si="78"/>
        <v>0</v>
      </c>
      <c r="AK105" s="10">
        <f t="shared" si="6"/>
        <v>0</v>
      </c>
    </row>
    <row r="106" spans="1:37">
      <c r="A106" s="3">
        <v>40033</v>
      </c>
      <c r="B106" s="2" t="s">
        <v>194</v>
      </c>
      <c r="C106" s="3" t="s">
        <v>46</v>
      </c>
      <c r="D106" s="3" t="s">
        <v>46</v>
      </c>
      <c r="E106" s="3" t="s">
        <v>46</v>
      </c>
      <c r="F106" s="3"/>
      <c r="G106" s="3" t="s">
        <v>191</v>
      </c>
      <c r="H106" s="3"/>
      <c r="I106" s="3" t="s">
        <v>54</v>
      </c>
      <c r="J106" s="3" t="s">
        <v>49</v>
      </c>
      <c r="K106" s="4"/>
      <c r="L106" s="3"/>
      <c r="M106" s="4"/>
      <c r="N106" s="2">
        <v>5</v>
      </c>
      <c r="O106" s="5" t="s">
        <v>55</v>
      </c>
      <c r="P106" s="25">
        <v>87.75</v>
      </c>
      <c r="Q106" s="26">
        <f t="shared" si="0"/>
        <v>2764.125</v>
      </c>
      <c r="R106" s="27">
        <v>4</v>
      </c>
      <c r="S106" s="2"/>
      <c r="T106" s="2">
        <v>102</v>
      </c>
      <c r="U106" s="2"/>
      <c r="V106" s="10">
        <v>56868</v>
      </c>
      <c r="W106" s="10">
        <v>70479</v>
      </c>
      <c r="X106" s="10">
        <v>9</v>
      </c>
      <c r="Y106" s="10">
        <v>11</v>
      </c>
      <c r="Z106" s="2">
        <f t="shared" ref="Z106:AC106" si="113">_xlfn.RANK.EQ(V106,V$4:V$200)</f>
        <v>82</v>
      </c>
      <c r="AA106" s="2">
        <f t="shared" si="113"/>
        <v>77</v>
      </c>
      <c r="AB106" s="2">
        <f t="shared" si="113"/>
        <v>150</v>
      </c>
      <c r="AC106" s="2">
        <f t="shared" si="113"/>
        <v>166</v>
      </c>
      <c r="AD106" s="10">
        <f t="shared" si="2"/>
        <v>10</v>
      </c>
      <c r="AE106" s="2">
        <v>209</v>
      </c>
      <c r="AF106" s="10">
        <f t="shared" si="3"/>
        <v>11</v>
      </c>
      <c r="AG106" s="2">
        <v>16</v>
      </c>
      <c r="AH106" s="2"/>
      <c r="AI106" s="41">
        <f t="shared" si="92"/>
        <v>118.5</v>
      </c>
      <c r="AJ106" s="10">
        <f t="shared" si="78"/>
        <v>0</v>
      </c>
      <c r="AK106" s="10">
        <f t="shared" si="6"/>
        <v>0</v>
      </c>
    </row>
    <row r="107" spans="1:37">
      <c r="A107" s="3">
        <v>40051</v>
      </c>
      <c r="B107" s="2" t="s">
        <v>195</v>
      </c>
      <c r="C107" s="3"/>
      <c r="D107" s="3" t="s">
        <v>46</v>
      </c>
      <c r="E107" s="3" t="s">
        <v>46</v>
      </c>
      <c r="F107" s="3"/>
      <c r="G107" s="3" t="s">
        <v>75</v>
      </c>
      <c r="H107" s="3"/>
      <c r="I107" s="3" t="s">
        <v>48</v>
      </c>
      <c r="J107" s="3" t="s">
        <v>49</v>
      </c>
      <c r="K107" s="4">
        <v>30</v>
      </c>
      <c r="L107" s="3"/>
      <c r="M107" s="4"/>
      <c r="N107" s="2">
        <v>5</v>
      </c>
      <c r="O107" s="5" t="s">
        <v>55</v>
      </c>
      <c r="P107" s="25">
        <v>78.45</v>
      </c>
      <c r="Q107" s="26">
        <f t="shared" si="0"/>
        <v>2471.1750000000002</v>
      </c>
      <c r="R107" s="27">
        <v>2</v>
      </c>
      <c r="S107" s="2"/>
      <c r="T107" s="2">
        <v>51</v>
      </c>
      <c r="U107" s="2"/>
      <c r="V107" s="10">
        <v>57694</v>
      </c>
      <c r="W107" s="10">
        <v>48960</v>
      </c>
      <c r="X107" s="10">
        <v>15</v>
      </c>
      <c r="Y107" s="10">
        <v>13</v>
      </c>
      <c r="Z107" s="2">
        <f t="shared" ref="Z107:AC107" si="114">_xlfn.RANK.EQ(V107,V$4:V$200)</f>
        <v>77</v>
      </c>
      <c r="AA107" s="2">
        <f t="shared" si="114"/>
        <v>108</v>
      </c>
      <c r="AB107" s="2">
        <f t="shared" si="114"/>
        <v>126</v>
      </c>
      <c r="AC107" s="2">
        <f t="shared" si="114"/>
        <v>157</v>
      </c>
      <c r="AD107" s="10">
        <f t="shared" si="2"/>
        <v>14</v>
      </c>
      <c r="AE107" s="2">
        <v>85</v>
      </c>
      <c r="AF107" s="10">
        <f t="shared" si="3"/>
        <v>13</v>
      </c>
      <c r="AG107" s="2"/>
      <c r="AH107" s="2"/>
      <c r="AI107" s="41">
        <f t="shared" si="92"/>
        <v>72</v>
      </c>
      <c r="AJ107" s="10">
        <f t="shared" si="78"/>
        <v>0</v>
      </c>
      <c r="AK107" s="10">
        <f t="shared" si="6"/>
        <v>0</v>
      </c>
    </row>
    <row r="108" spans="1:37">
      <c r="A108" s="3">
        <v>40046</v>
      </c>
      <c r="B108" s="2" t="s">
        <v>196</v>
      </c>
      <c r="C108" s="3" t="s">
        <v>46</v>
      </c>
      <c r="D108" s="3" t="s">
        <v>46</v>
      </c>
      <c r="E108" s="3" t="s">
        <v>60</v>
      </c>
      <c r="F108" s="3" t="s">
        <v>61</v>
      </c>
      <c r="G108" s="3" t="s">
        <v>75</v>
      </c>
      <c r="H108" s="3"/>
      <c r="I108" s="3" t="s">
        <v>48</v>
      </c>
      <c r="J108" s="3" t="s">
        <v>49</v>
      </c>
      <c r="K108" s="4"/>
      <c r="L108" s="3"/>
      <c r="M108" s="4"/>
      <c r="N108" s="2">
        <v>5</v>
      </c>
      <c r="O108" s="5" t="s">
        <v>55</v>
      </c>
      <c r="P108" s="25">
        <v>58.08</v>
      </c>
      <c r="Q108" s="26">
        <f t="shared" si="0"/>
        <v>1829.52</v>
      </c>
      <c r="R108" s="27">
        <v>2</v>
      </c>
      <c r="S108" s="2"/>
      <c r="T108" s="2">
        <v>51</v>
      </c>
      <c r="U108" s="2"/>
      <c r="V108" s="10">
        <v>32516</v>
      </c>
      <c r="W108" s="10">
        <v>29412</v>
      </c>
      <c r="X108" s="10">
        <v>11</v>
      </c>
      <c r="Y108" s="10">
        <v>10</v>
      </c>
      <c r="Z108" s="2">
        <f t="shared" ref="Z108:AC108" si="115">_xlfn.RANK.EQ(V108,V$4:V$200)</f>
        <v>115</v>
      </c>
      <c r="AA108" s="2">
        <f t="shared" si="115"/>
        <v>141</v>
      </c>
      <c r="AB108" s="2">
        <f t="shared" si="115"/>
        <v>144</v>
      </c>
      <c r="AC108" s="2">
        <f t="shared" si="115"/>
        <v>170</v>
      </c>
      <c r="AD108" s="10">
        <f t="shared" si="2"/>
        <v>10.5</v>
      </c>
      <c r="AE108" s="2">
        <v>96</v>
      </c>
      <c r="AF108" s="10">
        <f t="shared" si="3"/>
        <v>10</v>
      </c>
      <c r="AG108" s="2"/>
      <c r="AH108" s="2"/>
      <c r="AI108" s="41">
        <f t="shared" si="92"/>
        <v>66.75</v>
      </c>
      <c r="AJ108" s="10">
        <f t="shared" si="78"/>
        <v>0</v>
      </c>
      <c r="AK108" s="10">
        <f t="shared" si="6"/>
        <v>0</v>
      </c>
    </row>
    <row r="109" spans="1:37">
      <c r="A109" s="3">
        <v>40049</v>
      </c>
      <c r="B109" s="2" t="s">
        <v>197</v>
      </c>
      <c r="C109" s="3"/>
      <c r="D109" s="3" t="s">
        <v>46</v>
      </c>
      <c r="E109" s="3" t="s">
        <v>46</v>
      </c>
      <c r="F109" s="3"/>
      <c r="G109" s="3" t="s">
        <v>75</v>
      </c>
      <c r="H109" s="3"/>
      <c r="I109" s="3" t="s">
        <v>48</v>
      </c>
      <c r="J109" s="3" t="s">
        <v>49</v>
      </c>
      <c r="K109" s="4"/>
      <c r="L109" s="3"/>
      <c r="M109" s="4"/>
      <c r="N109" s="2">
        <v>5</v>
      </c>
      <c r="O109" s="5" t="s">
        <v>55</v>
      </c>
      <c r="P109" s="25">
        <v>82.68</v>
      </c>
      <c r="Q109" s="26">
        <f t="shared" si="0"/>
        <v>2604.42</v>
      </c>
      <c r="R109" s="27">
        <v>2</v>
      </c>
      <c r="S109" s="2"/>
      <c r="T109" s="2">
        <v>51</v>
      </c>
      <c r="U109" s="2"/>
      <c r="V109" s="10">
        <v>99102</v>
      </c>
      <c r="W109" s="10">
        <v>76190</v>
      </c>
      <c r="X109" s="10">
        <v>26</v>
      </c>
      <c r="Y109" s="10">
        <v>20</v>
      </c>
      <c r="Z109" s="2">
        <f t="shared" ref="Z109:AC109" si="116">_xlfn.RANK.EQ(V109,V$4:V$200)</f>
        <v>41</v>
      </c>
      <c r="AA109" s="2">
        <f t="shared" si="116"/>
        <v>71</v>
      </c>
      <c r="AB109" s="2">
        <f t="shared" si="116"/>
        <v>102</v>
      </c>
      <c r="AC109" s="2">
        <f t="shared" si="116"/>
        <v>131</v>
      </c>
      <c r="AD109" s="10">
        <f t="shared" si="2"/>
        <v>23</v>
      </c>
      <c r="AE109" s="2">
        <v>94</v>
      </c>
      <c r="AF109" s="10">
        <f t="shared" si="3"/>
        <v>20</v>
      </c>
      <c r="AG109" s="2"/>
      <c r="AH109" s="2"/>
      <c r="AI109" s="41">
        <f t="shared" si="92"/>
        <v>85.5</v>
      </c>
      <c r="AJ109" s="10">
        <f t="shared" si="78"/>
        <v>15</v>
      </c>
      <c r="AK109" s="10">
        <f t="shared" si="6"/>
        <v>39066.300000000003</v>
      </c>
    </row>
    <row r="110" spans="1:37">
      <c r="A110" s="3">
        <v>40047</v>
      </c>
      <c r="B110" s="2" t="s">
        <v>198</v>
      </c>
      <c r="C110" s="3"/>
      <c r="D110" s="3" t="s">
        <v>46</v>
      </c>
      <c r="E110" s="3" t="s">
        <v>46</v>
      </c>
      <c r="F110" s="3"/>
      <c r="G110" s="3" t="s">
        <v>75</v>
      </c>
      <c r="H110" s="3"/>
      <c r="I110" s="3" t="s">
        <v>48</v>
      </c>
      <c r="J110" s="3" t="s">
        <v>49</v>
      </c>
      <c r="K110" s="4">
        <v>30</v>
      </c>
      <c r="L110" s="3"/>
      <c r="M110" s="4"/>
      <c r="N110" s="2">
        <v>5</v>
      </c>
      <c r="O110" s="5" t="s">
        <v>55</v>
      </c>
      <c r="P110" s="25">
        <v>47.68</v>
      </c>
      <c r="Q110" s="26">
        <f t="shared" si="0"/>
        <v>1501.92</v>
      </c>
      <c r="R110" s="27">
        <v>2</v>
      </c>
      <c r="S110" s="2"/>
      <c r="T110" s="2">
        <v>51</v>
      </c>
      <c r="U110" s="2"/>
      <c r="V110" s="10">
        <v>22876</v>
      </c>
      <c r="W110" s="10">
        <v>26746</v>
      </c>
      <c r="X110" s="10">
        <v>7</v>
      </c>
      <c r="Y110" s="10">
        <v>8</v>
      </c>
      <c r="Z110" s="2">
        <f t="shared" ref="Z110:AC110" si="117">_xlfn.RANK.EQ(V110,V$4:V$200)</f>
        <v>134</v>
      </c>
      <c r="AA110" s="2">
        <f t="shared" si="117"/>
        <v>153</v>
      </c>
      <c r="AB110" s="2">
        <f t="shared" si="117"/>
        <v>157</v>
      </c>
      <c r="AC110" s="2">
        <f t="shared" si="117"/>
        <v>182</v>
      </c>
      <c r="AD110" s="10">
        <f t="shared" si="2"/>
        <v>7.5</v>
      </c>
      <c r="AE110" s="2">
        <v>93</v>
      </c>
      <c r="AF110" s="10">
        <f t="shared" si="3"/>
        <v>8</v>
      </c>
      <c r="AG110" s="2"/>
      <c r="AH110" s="2"/>
      <c r="AI110" s="41">
        <f t="shared" si="92"/>
        <v>63</v>
      </c>
      <c r="AJ110" s="10">
        <f t="shared" si="78"/>
        <v>0</v>
      </c>
      <c r="AK110" s="10">
        <f t="shared" si="6"/>
        <v>0</v>
      </c>
    </row>
    <row r="111" spans="1:37">
      <c r="A111" s="3">
        <v>40030</v>
      </c>
      <c r="B111" s="2" t="s">
        <v>199</v>
      </c>
      <c r="C111" s="3"/>
      <c r="D111" s="3" t="s">
        <v>46</v>
      </c>
      <c r="E111" s="3" t="s">
        <v>46</v>
      </c>
      <c r="F111" s="3"/>
      <c r="G111" s="3" t="s">
        <v>200</v>
      </c>
      <c r="H111" s="3"/>
      <c r="I111" s="3" t="s">
        <v>48</v>
      </c>
      <c r="J111" s="3" t="s">
        <v>49</v>
      </c>
      <c r="K111" s="4"/>
      <c r="L111" s="3"/>
      <c r="M111" s="4"/>
      <c r="N111" s="2">
        <v>5</v>
      </c>
      <c r="O111" s="5" t="s">
        <v>55</v>
      </c>
      <c r="P111" s="25">
        <v>22.75</v>
      </c>
      <c r="Q111" s="26">
        <f t="shared" si="0"/>
        <v>716.625</v>
      </c>
      <c r="R111" s="27">
        <v>2</v>
      </c>
      <c r="S111" s="2"/>
      <c r="T111" s="2">
        <v>51</v>
      </c>
      <c r="U111" s="2"/>
      <c r="V111" s="10">
        <v>62656</v>
      </c>
      <c r="W111" s="10">
        <v>75812</v>
      </c>
      <c r="X111" s="10">
        <v>39</v>
      </c>
      <c r="Y111" s="10">
        <v>47</v>
      </c>
      <c r="Z111" s="2">
        <f t="shared" ref="Z111:AC111" si="118">_xlfn.RANK.EQ(V111,V$4:V$200)</f>
        <v>69</v>
      </c>
      <c r="AA111" s="2">
        <f t="shared" si="118"/>
        <v>72</v>
      </c>
      <c r="AB111" s="2">
        <f t="shared" si="118"/>
        <v>78</v>
      </c>
      <c r="AC111" s="2">
        <f t="shared" si="118"/>
        <v>77</v>
      </c>
      <c r="AD111" s="10">
        <f t="shared" si="2"/>
        <v>43</v>
      </c>
      <c r="AE111" s="2">
        <v>248</v>
      </c>
      <c r="AF111" s="10">
        <f t="shared" si="3"/>
        <v>47</v>
      </c>
      <c r="AG111" s="2"/>
      <c r="AH111" s="2"/>
      <c r="AI111" s="41">
        <f t="shared" si="92"/>
        <v>121.5</v>
      </c>
      <c r="AJ111" s="10">
        <f t="shared" si="78"/>
        <v>0</v>
      </c>
      <c r="AK111" s="10">
        <f t="shared" si="6"/>
        <v>0</v>
      </c>
    </row>
    <row r="112" spans="1:37">
      <c r="A112" s="3">
        <v>30080</v>
      </c>
      <c r="B112" s="2" t="s">
        <v>201</v>
      </c>
      <c r="C112" s="3"/>
      <c r="D112" s="3" t="s">
        <v>46</v>
      </c>
      <c r="E112" s="3" t="s">
        <v>46</v>
      </c>
      <c r="F112" s="3"/>
      <c r="G112" s="3" t="s">
        <v>202</v>
      </c>
      <c r="H112" s="3"/>
      <c r="I112" s="3" t="s">
        <v>48</v>
      </c>
      <c r="J112" s="3" t="s">
        <v>49</v>
      </c>
      <c r="K112" s="4"/>
      <c r="L112" s="3"/>
      <c r="M112" s="4"/>
      <c r="N112" s="2">
        <v>5</v>
      </c>
      <c r="O112" s="5" t="s">
        <v>50</v>
      </c>
      <c r="P112" s="33">
        <v>4442</v>
      </c>
      <c r="Q112" s="26">
        <f t="shared" si="0"/>
        <v>4442</v>
      </c>
      <c r="R112" s="27">
        <v>3.5</v>
      </c>
      <c r="S112" s="2"/>
      <c r="T112" s="2">
        <v>51</v>
      </c>
      <c r="U112" s="2"/>
      <c r="V112" s="10">
        <v>100548</v>
      </c>
      <c r="W112" s="10">
        <v>157645</v>
      </c>
      <c r="X112" s="10">
        <v>14</v>
      </c>
      <c r="Y112" s="10">
        <v>22</v>
      </c>
      <c r="Z112" s="2">
        <f t="shared" ref="Z112:AC112" si="119">_xlfn.RANK.EQ(V112,V$4:V$200)</f>
        <v>40</v>
      </c>
      <c r="AA112" s="2">
        <f t="shared" si="119"/>
        <v>19</v>
      </c>
      <c r="AB112" s="2">
        <f t="shared" si="119"/>
        <v>132</v>
      </c>
      <c r="AC112" s="2">
        <f t="shared" si="119"/>
        <v>124</v>
      </c>
      <c r="AD112" s="10">
        <f t="shared" si="2"/>
        <v>18</v>
      </c>
      <c r="AE112" s="2">
        <v>111</v>
      </c>
      <c r="AF112" s="10">
        <f t="shared" si="3"/>
        <v>22</v>
      </c>
      <c r="AG112" s="2"/>
      <c r="AH112" s="2"/>
      <c r="AI112" s="41">
        <f t="shared" si="92"/>
        <v>84</v>
      </c>
      <c r="AJ112" s="10">
        <f t="shared" si="78"/>
        <v>0</v>
      </c>
      <c r="AK112" s="10">
        <f t="shared" si="6"/>
        <v>0</v>
      </c>
    </row>
    <row r="113" spans="1:37">
      <c r="A113" s="3">
        <v>30078</v>
      </c>
      <c r="B113" s="2" t="s">
        <v>203</v>
      </c>
      <c r="C113" s="3"/>
      <c r="D113" s="3" t="s">
        <v>46</v>
      </c>
      <c r="E113" s="3" t="s">
        <v>46</v>
      </c>
      <c r="F113" s="3"/>
      <c r="G113" s="3" t="s">
        <v>202</v>
      </c>
      <c r="H113" s="3"/>
      <c r="I113" s="3" t="s">
        <v>48</v>
      </c>
      <c r="J113" s="3" t="s">
        <v>49</v>
      </c>
      <c r="K113" s="4"/>
      <c r="L113" s="3"/>
      <c r="M113" s="4"/>
      <c r="N113" s="2">
        <v>5</v>
      </c>
      <c r="O113" s="5" t="s">
        <v>50</v>
      </c>
      <c r="P113" s="33">
        <v>4907</v>
      </c>
      <c r="Q113" s="26">
        <f t="shared" si="0"/>
        <v>4907</v>
      </c>
      <c r="R113" s="27">
        <v>3.5</v>
      </c>
      <c r="S113" s="2"/>
      <c r="T113" s="2">
        <v>51</v>
      </c>
      <c r="U113" s="2"/>
      <c r="V113" s="10">
        <v>95939</v>
      </c>
      <c r="W113" s="10">
        <v>136340</v>
      </c>
      <c r="X113" s="10">
        <v>12</v>
      </c>
      <c r="Y113" s="10">
        <v>17</v>
      </c>
      <c r="Z113" s="2">
        <f t="shared" ref="Z113:AC113" si="120">_xlfn.RANK.EQ(V113,V$4:V$200)</f>
        <v>44</v>
      </c>
      <c r="AA113" s="2">
        <f t="shared" si="120"/>
        <v>30</v>
      </c>
      <c r="AB113" s="2">
        <f t="shared" si="120"/>
        <v>140</v>
      </c>
      <c r="AC113" s="2">
        <f t="shared" si="120"/>
        <v>144</v>
      </c>
      <c r="AD113" s="10">
        <f t="shared" si="2"/>
        <v>14.5</v>
      </c>
      <c r="AE113" s="2">
        <v>89</v>
      </c>
      <c r="AF113" s="10">
        <f t="shared" si="3"/>
        <v>17</v>
      </c>
      <c r="AG113" s="2">
        <v>50</v>
      </c>
      <c r="AH113" s="2"/>
      <c r="AI113" s="41">
        <f t="shared" si="92"/>
        <v>76.5</v>
      </c>
      <c r="AJ113" s="10">
        <f t="shared" si="78"/>
        <v>0</v>
      </c>
      <c r="AK113" s="10">
        <f t="shared" si="6"/>
        <v>0</v>
      </c>
    </row>
    <row r="114" spans="1:37">
      <c r="A114" s="3">
        <v>30079</v>
      </c>
      <c r="B114" s="2" t="s">
        <v>204</v>
      </c>
      <c r="C114" s="3"/>
      <c r="D114" s="3" t="s">
        <v>46</v>
      </c>
      <c r="E114" s="3" t="s">
        <v>46</v>
      </c>
      <c r="F114" s="3"/>
      <c r="G114" s="3" t="s">
        <v>202</v>
      </c>
      <c r="H114" s="3"/>
      <c r="I114" s="3" t="s">
        <v>48</v>
      </c>
      <c r="J114" s="3" t="s">
        <v>49</v>
      </c>
      <c r="K114" s="4"/>
      <c r="L114" s="3"/>
      <c r="M114" s="4"/>
      <c r="N114" s="2">
        <v>5</v>
      </c>
      <c r="O114" s="5" t="s">
        <v>50</v>
      </c>
      <c r="P114" s="33">
        <v>4188</v>
      </c>
      <c r="Q114" s="26">
        <f t="shared" si="0"/>
        <v>4188</v>
      </c>
      <c r="R114" s="27">
        <v>3.5</v>
      </c>
      <c r="S114" s="2"/>
      <c r="T114" s="2">
        <v>51</v>
      </c>
      <c r="U114" s="2"/>
      <c r="V114" s="10">
        <v>40632</v>
      </c>
      <c r="W114" s="10">
        <v>67381</v>
      </c>
      <c r="X114" s="10">
        <v>6</v>
      </c>
      <c r="Y114" s="10">
        <v>10</v>
      </c>
      <c r="Z114" s="2">
        <f t="shared" ref="Z114:AC114" si="121">_xlfn.RANK.EQ(V114,V$4:V$200)</f>
        <v>104</v>
      </c>
      <c r="AA114" s="2">
        <f t="shared" si="121"/>
        <v>82</v>
      </c>
      <c r="AB114" s="2">
        <f t="shared" si="121"/>
        <v>161</v>
      </c>
      <c r="AC114" s="2">
        <f t="shared" si="121"/>
        <v>170</v>
      </c>
      <c r="AD114" s="10">
        <f t="shared" si="2"/>
        <v>8</v>
      </c>
      <c r="AE114" s="2">
        <v>144</v>
      </c>
      <c r="AF114" s="10">
        <f t="shared" si="3"/>
        <v>10</v>
      </c>
      <c r="AG114" s="2"/>
      <c r="AH114" s="2"/>
      <c r="AI114" s="41">
        <f t="shared" si="92"/>
        <v>66</v>
      </c>
      <c r="AJ114" s="10">
        <f t="shared" si="78"/>
        <v>0</v>
      </c>
      <c r="AK114" s="10">
        <f t="shared" si="6"/>
        <v>0</v>
      </c>
    </row>
    <row r="115" spans="1:37">
      <c r="A115" s="3">
        <v>30057</v>
      </c>
      <c r="B115" s="2" t="s">
        <v>205</v>
      </c>
      <c r="C115" s="3" t="s">
        <v>46</v>
      </c>
      <c r="D115" s="3" t="s">
        <v>46</v>
      </c>
      <c r="E115" s="3" t="s">
        <v>46</v>
      </c>
      <c r="F115" s="3"/>
      <c r="G115" s="3" t="s">
        <v>206</v>
      </c>
      <c r="H115" s="3"/>
      <c r="I115" s="3" t="s">
        <v>176</v>
      </c>
      <c r="J115" s="3" t="s">
        <v>49</v>
      </c>
      <c r="K115" s="4"/>
      <c r="L115" s="3"/>
      <c r="M115" s="4"/>
      <c r="N115" s="2">
        <v>5</v>
      </c>
      <c r="O115" s="5" t="s">
        <v>120</v>
      </c>
      <c r="P115" s="25">
        <v>47.6</v>
      </c>
      <c r="Q115" s="26">
        <f t="shared" si="0"/>
        <v>1761.2</v>
      </c>
      <c r="R115" s="27">
        <v>3</v>
      </c>
      <c r="S115" s="2"/>
      <c r="T115" s="2">
        <v>51</v>
      </c>
      <c r="U115" s="2"/>
      <c r="V115" s="10">
        <v>63633</v>
      </c>
      <c r="W115" s="10">
        <v>41768</v>
      </c>
      <c r="X115" s="10">
        <v>20</v>
      </c>
      <c r="Y115" s="10">
        <v>13</v>
      </c>
      <c r="Z115" s="2">
        <f t="shared" ref="Z115:AC115" si="122">_xlfn.RANK.EQ(V115,V$4:V$200)</f>
        <v>66</v>
      </c>
      <c r="AA115" s="2">
        <f t="shared" si="122"/>
        <v>118</v>
      </c>
      <c r="AB115" s="2">
        <f t="shared" si="122"/>
        <v>115</v>
      </c>
      <c r="AC115" s="2">
        <f t="shared" si="122"/>
        <v>157</v>
      </c>
      <c r="AD115" s="10">
        <f t="shared" si="2"/>
        <v>16.5</v>
      </c>
      <c r="AE115" s="2">
        <v>219</v>
      </c>
      <c r="AF115" s="10">
        <f t="shared" si="3"/>
        <v>13</v>
      </c>
      <c r="AG115" s="2"/>
      <c r="AH115" s="2"/>
      <c r="AI115" s="41">
        <f t="shared" si="92"/>
        <v>75.75</v>
      </c>
      <c r="AJ115" s="10">
        <f t="shared" si="78"/>
        <v>0</v>
      </c>
      <c r="AK115" s="10">
        <f t="shared" si="6"/>
        <v>0</v>
      </c>
    </row>
    <row r="116" spans="1:37">
      <c r="A116" s="3">
        <v>40026</v>
      </c>
      <c r="B116" s="2" t="s">
        <v>207</v>
      </c>
      <c r="C116" s="3" t="s">
        <v>46</v>
      </c>
      <c r="D116" s="3" t="s">
        <v>46</v>
      </c>
      <c r="E116" s="3" t="s">
        <v>60</v>
      </c>
      <c r="F116" s="3" t="s">
        <v>61</v>
      </c>
      <c r="G116" s="3" t="s">
        <v>206</v>
      </c>
      <c r="H116" s="3"/>
      <c r="I116" s="3" t="s">
        <v>176</v>
      </c>
      <c r="J116" s="3" t="s">
        <v>49</v>
      </c>
      <c r="K116" s="4"/>
      <c r="L116" s="3"/>
      <c r="M116" s="4"/>
      <c r="N116" s="2">
        <v>5</v>
      </c>
      <c r="O116" s="5" t="s">
        <v>120</v>
      </c>
      <c r="P116" s="25">
        <v>100</v>
      </c>
      <c r="Q116" s="26">
        <f t="shared" si="0"/>
        <v>3700</v>
      </c>
      <c r="R116" s="27">
        <v>3</v>
      </c>
      <c r="S116" s="2"/>
      <c r="T116" s="2">
        <v>51</v>
      </c>
      <c r="U116" s="2"/>
      <c r="V116" s="10">
        <v>69030</v>
      </c>
      <c r="W116" s="10">
        <v>83340</v>
      </c>
      <c r="X116" s="10">
        <v>10</v>
      </c>
      <c r="Y116" s="10">
        <v>12</v>
      </c>
      <c r="Z116" s="2">
        <f t="shared" ref="Z116:AC116" si="123">_xlfn.RANK.EQ(V116,V$4:V$200)</f>
        <v>59</v>
      </c>
      <c r="AA116" s="2">
        <f t="shared" si="123"/>
        <v>62</v>
      </c>
      <c r="AB116" s="2">
        <f t="shared" si="123"/>
        <v>148</v>
      </c>
      <c r="AC116" s="2">
        <f t="shared" si="123"/>
        <v>161</v>
      </c>
      <c r="AD116" s="10">
        <f t="shared" si="2"/>
        <v>11</v>
      </c>
      <c r="AE116" s="2">
        <v>68</v>
      </c>
      <c r="AF116" s="10">
        <f t="shared" si="3"/>
        <v>12</v>
      </c>
      <c r="AG116" s="2"/>
      <c r="AH116" s="2"/>
      <c r="AI116" s="41">
        <f t="shared" si="92"/>
        <v>69</v>
      </c>
      <c r="AJ116" s="10">
        <f t="shared" si="78"/>
        <v>0</v>
      </c>
      <c r="AK116" s="10">
        <f t="shared" si="6"/>
        <v>0</v>
      </c>
    </row>
    <row r="117" spans="1:37">
      <c r="A117" s="3">
        <v>30059</v>
      </c>
      <c r="B117" s="2" t="s">
        <v>208</v>
      </c>
      <c r="C117" s="3"/>
      <c r="D117" s="3" t="s">
        <v>46</v>
      </c>
      <c r="E117" s="3" t="s">
        <v>46</v>
      </c>
      <c r="F117" s="3"/>
      <c r="G117" s="3" t="s">
        <v>206</v>
      </c>
      <c r="H117" s="3"/>
      <c r="I117" s="3" t="s">
        <v>176</v>
      </c>
      <c r="J117" s="3" t="s">
        <v>49</v>
      </c>
      <c r="K117" s="4"/>
      <c r="L117" s="3"/>
      <c r="M117" s="4"/>
      <c r="N117" s="2">
        <v>5</v>
      </c>
      <c r="O117" s="5" t="s">
        <v>120</v>
      </c>
      <c r="P117" s="25">
        <v>51.6</v>
      </c>
      <c r="Q117" s="26">
        <f t="shared" si="0"/>
        <v>1909.2</v>
      </c>
      <c r="R117" s="27">
        <v>3</v>
      </c>
      <c r="S117" s="2"/>
      <c r="T117" s="2">
        <v>51</v>
      </c>
      <c r="U117" s="2"/>
      <c r="V117" s="10">
        <v>40029</v>
      </c>
      <c r="W117" s="10">
        <v>73655</v>
      </c>
      <c r="X117" s="10">
        <v>11</v>
      </c>
      <c r="Y117" s="10">
        <v>20</v>
      </c>
      <c r="Z117" s="2">
        <f t="shared" ref="Z117:AC117" si="124">_xlfn.RANK.EQ(V117,V$4:V$200)</f>
        <v>106</v>
      </c>
      <c r="AA117" s="2">
        <f t="shared" si="124"/>
        <v>75</v>
      </c>
      <c r="AB117" s="2">
        <f t="shared" si="124"/>
        <v>144</v>
      </c>
      <c r="AC117" s="2">
        <f t="shared" si="124"/>
        <v>131</v>
      </c>
      <c r="AD117" s="10">
        <f t="shared" si="2"/>
        <v>15.5</v>
      </c>
      <c r="AE117" s="2">
        <v>153</v>
      </c>
      <c r="AF117" s="10">
        <f t="shared" si="3"/>
        <v>20</v>
      </c>
      <c r="AG117" s="2">
        <v>128</v>
      </c>
      <c r="AH117" s="2"/>
      <c r="AI117" s="41">
        <f t="shared" si="92"/>
        <v>81</v>
      </c>
      <c r="AJ117" s="10">
        <f t="shared" si="78"/>
        <v>0</v>
      </c>
      <c r="AK117" s="10">
        <f t="shared" si="6"/>
        <v>0</v>
      </c>
    </row>
    <row r="118" spans="1:37">
      <c r="A118" s="3">
        <v>30058</v>
      </c>
      <c r="B118" s="2" t="s">
        <v>209</v>
      </c>
      <c r="C118" s="3" t="s">
        <v>46</v>
      </c>
      <c r="D118" s="3" t="s">
        <v>46</v>
      </c>
      <c r="E118" s="3" t="s">
        <v>46</v>
      </c>
      <c r="F118" s="3"/>
      <c r="G118" s="3" t="s">
        <v>206</v>
      </c>
      <c r="H118" s="3"/>
      <c r="I118" s="3" t="s">
        <v>176</v>
      </c>
      <c r="J118" s="3" t="s">
        <v>49</v>
      </c>
      <c r="K118" s="4"/>
      <c r="L118" s="3"/>
      <c r="M118" s="4"/>
      <c r="N118" s="2">
        <v>5</v>
      </c>
      <c r="O118" s="5" t="s">
        <v>120</v>
      </c>
      <c r="P118" s="25">
        <v>66.33</v>
      </c>
      <c r="Q118" s="26">
        <f t="shared" si="0"/>
        <v>2454.21</v>
      </c>
      <c r="R118" s="27">
        <v>3</v>
      </c>
      <c r="S118" s="2"/>
      <c r="T118" s="2">
        <v>51</v>
      </c>
      <c r="U118" s="2"/>
      <c r="V118" s="10">
        <v>21888</v>
      </c>
      <c r="W118" s="10">
        <v>39312</v>
      </c>
      <c r="X118" s="10">
        <v>4</v>
      </c>
      <c r="Y118" s="10">
        <v>7</v>
      </c>
      <c r="Z118" s="2">
        <f t="shared" ref="Z118:AC118" si="125">_xlfn.RANK.EQ(V118,V$4:V$200)</f>
        <v>136</v>
      </c>
      <c r="AA118" s="2">
        <f t="shared" si="125"/>
        <v>122</v>
      </c>
      <c r="AB118" s="2">
        <f t="shared" si="125"/>
        <v>167</v>
      </c>
      <c r="AC118" s="2">
        <f t="shared" si="125"/>
        <v>188</v>
      </c>
      <c r="AD118" s="10">
        <f t="shared" si="2"/>
        <v>5.5</v>
      </c>
      <c r="AE118" s="2">
        <v>278</v>
      </c>
      <c r="AF118" s="10">
        <f t="shared" si="3"/>
        <v>7</v>
      </c>
      <c r="AG118" s="2"/>
      <c r="AH118" s="2"/>
      <c r="AI118" s="41">
        <f t="shared" si="92"/>
        <v>61.5</v>
      </c>
      <c r="AJ118" s="10">
        <f t="shared" si="78"/>
        <v>0</v>
      </c>
      <c r="AK118" s="10">
        <f t="shared" si="6"/>
        <v>0</v>
      </c>
    </row>
    <row r="119" spans="1:37">
      <c r="A119" s="3">
        <v>30128</v>
      </c>
      <c r="B119" s="2" t="s">
        <v>210</v>
      </c>
      <c r="C119" s="3"/>
      <c r="D119" s="3" t="s">
        <v>46</v>
      </c>
      <c r="E119" s="3" t="s">
        <v>46</v>
      </c>
      <c r="F119" s="3"/>
      <c r="G119" s="3" t="s">
        <v>75</v>
      </c>
      <c r="H119" s="3"/>
      <c r="I119" s="3" t="s">
        <v>48</v>
      </c>
      <c r="J119" s="3" t="s">
        <v>49</v>
      </c>
      <c r="K119" s="4"/>
      <c r="L119" s="3"/>
      <c r="M119" s="4"/>
      <c r="N119" s="2">
        <v>5</v>
      </c>
      <c r="O119" s="5" t="s">
        <v>55</v>
      </c>
      <c r="P119" s="25">
        <v>37.44</v>
      </c>
      <c r="Q119" s="26">
        <f t="shared" si="0"/>
        <v>1179.3599999999999</v>
      </c>
      <c r="R119" s="27">
        <v>2</v>
      </c>
      <c r="S119" s="2"/>
      <c r="T119" s="2">
        <v>51</v>
      </c>
      <c r="U119" s="2"/>
      <c r="V119" s="10">
        <v>73105</v>
      </c>
      <c r="W119" s="10">
        <v>64439</v>
      </c>
      <c r="X119" s="10">
        <v>40</v>
      </c>
      <c r="Y119" s="10">
        <v>35</v>
      </c>
      <c r="Z119" s="2">
        <f t="shared" ref="Z119:AC119" si="126">_xlfn.RANK.EQ(V119,V$4:V$200)</f>
        <v>57</v>
      </c>
      <c r="AA119" s="2">
        <f t="shared" si="126"/>
        <v>87</v>
      </c>
      <c r="AB119" s="2">
        <f t="shared" si="126"/>
        <v>75</v>
      </c>
      <c r="AC119" s="2">
        <f t="shared" si="126"/>
        <v>99</v>
      </c>
      <c r="AD119" s="10">
        <f t="shared" si="2"/>
        <v>37.5</v>
      </c>
      <c r="AE119" s="2">
        <v>77</v>
      </c>
      <c r="AF119" s="10">
        <f t="shared" si="3"/>
        <v>35</v>
      </c>
      <c r="AG119" s="2"/>
      <c r="AH119" s="2">
        <v>120</v>
      </c>
      <c r="AI119" s="41">
        <f t="shared" si="92"/>
        <v>107.25</v>
      </c>
      <c r="AJ119" s="10">
        <f t="shared" si="78"/>
        <v>0</v>
      </c>
      <c r="AK119" s="10">
        <f t="shared" si="6"/>
        <v>0</v>
      </c>
    </row>
    <row r="120" spans="1:37">
      <c r="A120" s="3">
        <v>30101</v>
      </c>
      <c r="B120" s="2" t="s">
        <v>211</v>
      </c>
      <c r="C120" s="3" t="s">
        <v>46</v>
      </c>
      <c r="D120" s="3" t="s">
        <v>46</v>
      </c>
      <c r="E120" s="3" t="s">
        <v>60</v>
      </c>
      <c r="F120" s="3" t="s">
        <v>61</v>
      </c>
      <c r="G120" s="3" t="s">
        <v>75</v>
      </c>
      <c r="H120" s="3"/>
      <c r="I120" s="3" t="s">
        <v>48</v>
      </c>
      <c r="J120" s="3" t="s">
        <v>49</v>
      </c>
      <c r="K120" s="4">
        <v>100</v>
      </c>
      <c r="L120" s="3"/>
      <c r="M120" s="4"/>
      <c r="N120" s="2">
        <v>5</v>
      </c>
      <c r="O120" s="5" t="s">
        <v>55</v>
      </c>
      <c r="P120" s="25">
        <v>36</v>
      </c>
      <c r="Q120" s="26">
        <f t="shared" si="0"/>
        <v>1134</v>
      </c>
      <c r="R120" s="27">
        <v>2</v>
      </c>
      <c r="S120" s="2"/>
      <c r="T120" s="2">
        <v>51</v>
      </c>
      <c r="U120" s="2"/>
      <c r="V120" s="10">
        <v>23892</v>
      </c>
      <c r="W120" s="10">
        <v>16656</v>
      </c>
      <c r="X120" s="10">
        <v>13</v>
      </c>
      <c r="Y120" s="10">
        <v>9</v>
      </c>
      <c r="Z120" s="2">
        <f t="shared" ref="Z120:AC120" si="127">_xlfn.RANK.EQ(V120,V$4:V$200)</f>
        <v>133</v>
      </c>
      <c r="AA120" s="2">
        <f t="shared" si="127"/>
        <v>169</v>
      </c>
      <c r="AB120" s="2">
        <f t="shared" si="127"/>
        <v>135</v>
      </c>
      <c r="AC120" s="2">
        <f t="shared" si="127"/>
        <v>177</v>
      </c>
      <c r="AD120" s="10">
        <f t="shared" si="2"/>
        <v>11</v>
      </c>
      <c r="AE120" s="2">
        <v>54</v>
      </c>
      <c r="AF120" s="10">
        <f t="shared" si="3"/>
        <v>9</v>
      </c>
      <c r="AG120" s="2"/>
      <c r="AH120" s="2"/>
      <c r="AI120" s="41">
        <f t="shared" si="92"/>
        <v>67.5</v>
      </c>
      <c r="AJ120" s="10">
        <f t="shared" si="78"/>
        <v>0</v>
      </c>
      <c r="AK120" s="10">
        <f t="shared" si="6"/>
        <v>0</v>
      </c>
    </row>
    <row r="121" spans="1:37">
      <c r="A121" s="3">
        <v>30092</v>
      </c>
      <c r="B121" s="2" t="s">
        <v>212</v>
      </c>
      <c r="C121" s="3" t="s">
        <v>46</v>
      </c>
      <c r="D121" s="3" t="s">
        <v>46</v>
      </c>
      <c r="E121" s="3" t="s">
        <v>60</v>
      </c>
      <c r="F121" s="3" t="s">
        <v>61</v>
      </c>
      <c r="G121" s="3" t="s">
        <v>213</v>
      </c>
      <c r="H121" s="3"/>
      <c r="I121" s="3" t="s">
        <v>119</v>
      </c>
      <c r="J121" s="3" t="s">
        <v>49</v>
      </c>
      <c r="K121" s="4"/>
      <c r="L121" s="3"/>
      <c r="M121" s="4"/>
      <c r="N121" s="2">
        <v>5</v>
      </c>
      <c r="O121" s="5" t="s">
        <v>55</v>
      </c>
      <c r="P121" s="25">
        <v>31.61</v>
      </c>
      <c r="Q121" s="26">
        <f t="shared" si="0"/>
        <v>995.71500000000003</v>
      </c>
      <c r="R121" s="27">
        <v>2</v>
      </c>
      <c r="S121" s="2"/>
      <c r="T121" s="2">
        <v>51</v>
      </c>
      <c r="U121" s="2"/>
      <c r="V121" s="10">
        <v>36534</v>
      </c>
      <c r="W121" s="10">
        <v>39114</v>
      </c>
      <c r="X121" s="10">
        <v>17</v>
      </c>
      <c r="Y121" s="10">
        <v>18</v>
      </c>
      <c r="Z121" s="2">
        <f t="shared" ref="Z121:AC121" si="128">_xlfn.RANK.EQ(V121,V$4:V$200)</f>
        <v>109</v>
      </c>
      <c r="AA121" s="2">
        <f t="shared" si="128"/>
        <v>123</v>
      </c>
      <c r="AB121" s="2">
        <f t="shared" si="128"/>
        <v>122</v>
      </c>
      <c r="AC121" s="2">
        <f t="shared" si="128"/>
        <v>142</v>
      </c>
      <c r="AD121" s="10">
        <f t="shared" si="2"/>
        <v>17.5</v>
      </c>
      <c r="AE121" s="2">
        <v>135</v>
      </c>
      <c r="AF121" s="10">
        <f t="shared" si="3"/>
        <v>18</v>
      </c>
      <c r="AG121" s="2"/>
      <c r="AH121" s="2"/>
      <c r="AI121" s="41">
        <f t="shared" si="92"/>
        <v>78</v>
      </c>
      <c r="AJ121" s="10">
        <f t="shared" si="78"/>
        <v>0</v>
      </c>
      <c r="AK121" s="10">
        <f t="shared" si="6"/>
        <v>0</v>
      </c>
    </row>
    <row r="122" spans="1:37">
      <c r="A122" s="3">
        <v>30091</v>
      </c>
      <c r="B122" s="2" t="s">
        <v>214</v>
      </c>
      <c r="C122" s="3" t="s">
        <v>46</v>
      </c>
      <c r="D122" s="3" t="s">
        <v>46</v>
      </c>
      <c r="E122" s="3" t="s">
        <v>60</v>
      </c>
      <c r="F122" s="3" t="s">
        <v>61</v>
      </c>
      <c r="G122" s="3" t="s">
        <v>213</v>
      </c>
      <c r="H122" s="3"/>
      <c r="I122" s="3" t="s">
        <v>119</v>
      </c>
      <c r="J122" s="3" t="s">
        <v>49</v>
      </c>
      <c r="K122" s="4"/>
      <c r="L122" s="3"/>
      <c r="M122" s="4"/>
      <c r="N122" s="2">
        <v>5</v>
      </c>
      <c r="O122" s="5" t="s">
        <v>55</v>
      </c>
      <c r="P122" s="25">
        <v>24.26</v>
      </c>
      <c r="Q122" s="26">
        <f t="shared" si="0"/>
        <v>764.19</v>
      </c>
      <c r="R122" s="27">
        <v>2</v>
      </c>
      <c r="S122" s="2"/>
      <c r="T122" s="2">
        <v>51</v>
      </c>
      <c r="U122" s="2"/>
      <c r="V122" s="10">
        <v>21741</v>
      </c>
      <c r="W122" s="10">
        <v>28255</v>
      </c>
      <c r="X122" s="10">
        <v>13</v>
      </c>
      <c r="Y122" s="10">
        <v>17</v>
      </c>
      <c r="Z122" s="2">
        <f t="shared" ref="Z122:AC122" si="129">_xlfn.RANK.EQ(V122,V$4:V$200)</f>
        <v>137</v>
      </c>
      <c r="AA122" s="2">
        <f t="shared" si="129"/>
        <v>147</v>
      </c>
      <c r="AB122" s="2">
        <f t="shared" si="129"/>
        <v>135</v>
      </c>
      <c r="AC122" s="2">
        <f t="shared" si="129"/>
        <v>144</v>
      </c>
      <c r="AD122" s="10">
        <f t="shared" si="2"/>
        <v>15</v>
      </c>
      <c r="AE122" s="2">
        <v>72</v>
      </c>
      <c r="AF122" s="10">
        <f t="shared" si="3"/>
        <v>17</v>
      </c>
      <c r="AG122" s="2"/>
      <c r="AH122" s="2"/>
      <c r="AI122" s="41">
        <f t="shared" si="92"/>
        <v>76.5</v>
      </c>
      <c r="AJ122" s="10">
        <f t="shared" si="78"/>
        <v>0</v>
      </c>
      <c r="AK122" s="10">
        <f t="shared" si="6"/>
        <v>0</v>
      </c>
    </row>
    <row r="123" spans="1:37">
      <c r="A123" s="3">
        <v>30097</v>
      </c>
      <c r="B123" s="2" t="s">
        <v>215</v>
      </c>
      <c r="C123" s="3" t="s">
        <v>46</v>
      </c>
      <c r="D123" s="3" t="s">
        <v>46</v>
      </c>
      <c r="E123" s="3" t="s">
        <v>46</v>
      </c>
      <c r="F123" s="3"/>
      <c r="G123" s="3" t="s">
        <v>191</v>
      </c>
      <c r="H123" s="3"/>
      <c r="I123" s="3" t="s">
        <v>54</v>
      </c>
      <c r="J123" s="3" t="s">
        <v>49</v>
      </c>
      <c r="K123" s="4"/>
      <c r="L123" s="3"/>
      <c r="M123" s="4"/>
      <c r="N123" s="2">
        <v>5</v>
      </c>
      <c r="O123" s="5" t="s">
        <v>55</v>
      </c>
      <c r="P123" s="25">
        <v>31.85</v>
      </c>
      <c r="Q123" s="26">
        <f t="shared" si="0"/>
        <v>1003.2750000000001</v>
      </c>
      <c r="R123" s="27">
        <v>4</v>
      </c>
      <c r="S123" s="2"/>
      <c r="T123" s="2">
        <v>51</v>
      </c>
      <c r="U123" s="2"/>
      <c r="V123" s="10">
        <v>21284</v>
      </c>
      <c r="W123" s="10">
        <v>23625</v>
      </c>
      <c r="X123" s="10">
        <v>9</v>
      </c>
      <c r="Y123" s="10">
        <v>10</v>
      </c>
      <c r="Z123" s="2">
        <f t="shared" ref="Z123:AC123" si="130">_xlfn.RANK.EQ(V123,V$4:V$200)</f>
        <v>139</v>
      </c>
      <c r="AA123" s="2">
        <f t="shared" si="130"/>
        <v>156</v>
      </c>
      <c r="AB123" s="2">
        <f t="shared" si="130"/>
        <v>150</v>
      </c>
      <c r="AC123" s="2">
        <f t="shared" si="130"/>
        <v>170</v>
      </c>
      <c r="AD123" s="10">
        <f t="shared" si="2"/>
        <v>9.5</v>
      </c>
      <c r="AE123" s="2">
        <v>148</v>
      </c>
      <c r="AF123" s="10">
        <f t="shared" si="3"/>
        <v>10</v>
      </c>
      <c r="AG123" s="2"/>
      <c r="AH123" s="2"/>
      <c r="AI123" s="41">
        <f t="shared" si="92"/>
        <v>66</v>
      </c>
      <c r="AJ123" s="10">
        <f t="shared" si="78"/>
        <v>0</v>
      </c>
      <c r="AK123" s="10">
        <f t="shared" si="6"/>
        <v>0</v>
      </c>
    </row>
    <row r="124" spans="1:37">
      <c r="A124" s="3">
        <v>30096</v>
      </c>
      <c r="B124" s="2" t="s">
        <v>216</v>
      </c>
      <c r="C124" s="3" t="s">
        <v>46</v>
      </c>
      <c r="D124" s="3" t="s">
        <v>46</v>
      </c>
      <c r="E124" s="3" t="s">
        <v>60</v>
      </c>
      <c r="F124" s="3" t="s">
        <v>61</v>
      </c>
      <c r="G124" s="3" t="s">
        <v>130</v>
      </c>
      <c r="H124" s="3"/>
      <c r="I124" s="3" t="s">
        <v>119</v>
      </c>
      <c r="J124" s="3" t="s">
        <v>49</v>
      </c>
      <c r="K124" s="4"/>
      <c r="L124" s="3"/>
      <c r="M124" s="4"/>
      <c r="N124" s="2">
        <v>5</v>
      </c>
      <c r="O124" s="5" t="s">
        <v>55</v>
      </c>
      <c r="P124" s="25">
        <v>52.2</v>
      </c>
      <c r="Q124" s="26">
        <f t="shared" si="0"/>
        <v>1644.3000000000002</v>
      </c>
      <c r="R124" s="27">
        <v>1.5</v>
      </c>
      <c r="S124" s="2"/>
      <c r="T124" s="2">
        <v>51</v>
      </c>
      <c r="U124" s="2"/>
      <c r="V124" s="10">
        <v>19086</v>
      </c>
      <c r="W124" s="10">
        <v>19479</v>
      </c>
      <c r="X124" s="10">
        <v>7</v>
      </c>
      <c r="Y124" s="10">
        <v>7</v>
      </c>
      <c r="Z124" s="2">
        <f t="shared" ref="Z124:AC124" si="131">_xlfn.RANK.EQ(V124,V$4:V$200)</f>
        <v>144</v>
      </c>
      <c r="AA124" s="2">
        <f t="shared" si="131"/>
        <v>162</v>
      </c>
      <c r="AB124" s="2">
        <f t="shared" si="131"/>
        <v>157</v>
      </c>
      <c r="AC124" s="2">
        <f t="shared" si="131"/>
        <v>188</v>
      </c>
      <c r="AD124" s="10">
        <f t="shared" si="2"/>
        <v>7</v>
      </c>
      <c r="AE124" s="2">
        <v>94</v>
      </c>
      <c r="AF124" s="10">
        <f t="shared" si="3"/>
        <v>7</v>
      </c>
      <c r="AG124" s="2"/>
      <c r="AH124" s="2"/>
      <c r="AI124" s="41">
        <f t="shared" si="92"/>
        <v>61.5</v>
      </c>
      <c r="AJ124" s="10">
        <f t="shared" si="78"/>
        <v>0</v>
      </c>
      <c r="AK124" s="10">
        <f t="shared" si="6"/>
        <v>0</v>
      </c>
    </row>
    <row r="125" spans="1:37">
      <c r="A125" s="3">
        <v>30111</v>
      </c>
      <c r="B125" s="2" t="s">
        <v>217</v>
      </c>
      <c r="C125" s="3"/>
      <c r="D125" s="3" t="s">
        <v>46</v>
      </c>
      <c r="E125" s="3" t="s">
        <v>46</v>
      </c>
      <c r="F125" s="3" t="s">
        <v>61</v>
      </c>
      <c r="G125" s="3" t="s">
        <v>191</v>
      </c>
      <c r="H125" s="3"/>
      <c r="I125" s="3" t="s">
        <v>54</v>
      </c>
      <c r="J125" s="3" t="s">
        <v>49</v>
      </c>
      <c r="K125" s="4"/>
      <c r="L125" s="3"/>
      <c r="M125" s="4"/>
      <c r="N125" s="2">
        <v>5</v>
      </c>
      <c r="O125" s="5" t="s">
        <v>55</v>
      </c>
      <c r="P125" s="25">
        <v>45.85</v>
      </c>
      <c r="Q125" s="26">
        <f t="shared" si="0"/>
        <v>1444.2750000000001</v>
      </c>
      <c r="R125" s="27">
        <v>4</v>
      </c>
      <c r="S125" s="2"/>
      <c r="T125" s="2">
        <v>51</v>
      </c>
      <c r="U125" s="2"/>
      <c r="V125" s="10">
        <v>9596</v>
      </c>
      <c r="W125" s="10">
        <v>13012</v>
      </c>
      <c r="X125" s="10">
        <v>3</v>
      </c>
      <c r="Y125" s="10">
        <v>4</v>
      </c>
      <c r="Z125" s="2">
        <f t="shared" ref="Z125:AC125" si="132">_xlfn.RANK.EQ(V125,V$4:V$200)</f>
        <v>159</v>
      </c>
      <c r="AA125" s="2">
        <f t="shared" si="132"/>
        <v>178</v>
      </c>
      <c r="AB125" s="2">
        <f t="shared" si="132"/>
        <v>171</v>
      </c>
      <c r="AC125" s="2">
        <f t="shared" si="132"/>
        <v>193</v>
      </c>
      <c r="AD125" s="10">
        <f t="shared" si="2"/>
        <v>3.5</v>
      </c>
      <c r="AE125" s="2">
        <v>117</v>
      </c>
      <c r="AF125" s="10">
        <f t="shared" si="3"/>
        <v>4</v>
      </c>
      <c r="AG125" s="2"/>
      <c r="AH125" s="2"/>
      <c r="AI125" s="41">
        <f t="shared" si="92"/>
        <v>57</v>
      </c>
      <c r="AJ125" s="10">
        <f t="shared" si="78"/>
        <v>0</v>
      </c>
      <c r="AK125" s="10">
        <f t="shared" si="6"/>
        <v>0</v>
      </c>
    </row>
    <row r="126" spans="1:37">
      <c r="A126" s="3">
        <v>30044</v>
      </c>
      <c r="B126" s="2" t="s">
        <v>218</v>
      </c>
      <c r="C126" s="3" t="s">
        <v>46</v>
      </c>
      <c r="D126" s="3" t="s">
        <v>46</v>
      </c>
      <c r="E126" s="3" t="s">
        <v>46</v>
      </c>
      <c r="F126" s="3"/>
      <c r="G126" s="3" t="s">
        <v>191</v>
      </c>
      <c r="H126" s="3"/>
      <c r="I126" s="3" t="s">
        <v>54</v>
      </c>
      <c r="J126" s="3" t="s">
        <v>49</v>
      </c>
      <c r="K126" s="4"/>
      <c r="L126" s="3"/>
      <c r="M126" s="4"/>
      <c r="N126" s="2">
        <v>5</v>
      </c>
      <c r="O126" s="5" t="s">
        <v>55</v>
      </c>
      <c r="P126" s="25">
        <v>14</v>
      </c>
      <c r="Q126" s="26">
        <f t="shared" si="0"/>
        <v>441</v>
      </c>
      <c r="R126" s="27">
        <v>4</v>
      </c>
      <c r="S126" s="2"/>
      <c r="T126" s="2">
        <v>51</v>
      </c>
      <c r="U126" s="2"/>
      <c r="V126" s="10">
        <v>42373</v>
      </c>
      <c r="W126" s="10">
        <v>55875</v>
      </c>
      <c r="X126" s="10">
        <v>39</v>
      </c>
      <c r="Y126" s="10">
        <v>51</v>
      </c>
      <c r="Z126" s="2">
        <f t="shared" ref="Z126:AC126" si="133">_xlfn.RANK.EQ(V126,V$4:V$200)</f>
        <v>102</v>
      </c>
      <c r="AA126" s="2">
        <f t="shared" si="133"/>
        <v>95</v>
      </c>
      <c r="AB126" s="2">
        <f t="shared" si="133"/>
        <v>78</v>
      </c>
      <c r="AC126" s="2">
        <f t="shared" si="133"/>
        <v>71</v>
      </c>
      <c r="AD126" s="10">
        <f t="shared" si="2"/>
        <v>45</v>
      </c>
      <c r="AE126" s="2">
        <v>150</v>
      </c>
      <c r="AF126" s="10">
        <f t="shared" si="3"/>
        <v>51</v>
      </c>
      <c r="AG126" s="2">
        <v>60</v>
      </c>
      <c r="AH126" s="2"/>
      <c r="AI126" s="41">
        <f t="shared" si="92"/>
        <v>127.5</v>
      </c>
      <c r="AJ126" s="10">
        <f t="shared" si="78"/>
        <v>0</v>
      </c>
      <c r="AK126" s="10">
        <f t="shared" si="6"/>
        <v>0</v>
      </c>
    </row>
    <row r="127" spans="1:37">
      <c r="A127" s="3">
        <v>30102</v>
      </c>
      <c r="B127" s="2" t="s">
        <v>219</v>
      </c>
      <c r="C127" s="3" t="s">
        <v>46</v>
      </c>
      <c r="D127" s="3" t="s">
        <v>46</v>
      </c>
      <c r="E127" s="3" t="s">
        <v>60</v>
      </c>
      <c r="F127" s="3" t="s">
        <v>61</v>
      </c>
      <c r="G127" s="3" t="s">
        <v>220</v>
      </c>
      <c r="H127" s="3"/>
      <c r="I127" s="3" t="s">
        <v>221</v>
      </c>
      <c r="J127" s="3" t="s">
        <v>49</v>
      </c>
      <c r="K127" s="4"/>
      <c r="L127" s="3"/>
      <c r="M127" s="4"/>
      <c r="N127" s="2">
        <v>5</v>
      </c>
      <c r="O127" s="5" t="s">
        <v>55</v>
      </c>
      <c r="P127" s="25">
        <v>22.8</v>
      </c>
      <c r="Q127" s="26">
        <f t="shared" si="0"/>
        <v>718.2</v>
      </c>
      <c r="R127" s="27">
        <v>2</v>
      </c>
      <c r="S127" s="2"/>
      <c r="T127" s="2">
        <v>51</v>
      </c>
      <c r="U127" s="2"/>
      <c r="V127" s="10">
        <v>64585</v>
      </c>
      <c r="W127" s="10">
        <v>64466</v>
      </c>
      <c r="X127" s="10">
        <v>47</v>
      </c>
      <c r="Y127" s="10">
        <v>47</v>
      </c>
      <c r="Z127" s="2">
        <f t="shared" ref="Z127:AC127" si="134">_xlfn.RANK.EQ(V127,V$4:V$200)</f>
        <v>64</v>
      </c>
      <c r="AA127" s="2">
        <f t="shared" si="134"/>
        <v>86</v>
      </c>
      <c r="AB127" s="2">
        <f t="shared" si="134"/>
        <v>62</v>
      </c>
      <c r="AC127" s="2">
        <f t="shared" si="134"/>
        <v>77</v>
      </c>
      <c r="AD127" s="10">
        <f t="shared" si="2"/>
        <v>47</v>
      </c>
      <c r="AE127" s="2">
        <v>106</v>
      </c>
      <c r="AF127" s="10">
        <f t="shared" si="3"/>
        <v>47</v>
      </c>
      <c r="AG127" s="2">
        <v>60</v>
      </c>
      <c r="AH127" s="2"/>
      <c r="AI127" s="41">
        <f t="shared" si="92"/>
        <v>121.5</v>
      </c>
      <c r="AJ127" s="10">
        <f t="shared" si="78"/>
        <v>0</v>
      </c>
      <c r="AK127" s="10">
        <f t="shared" si="6"/>
        <v>0</v>
      </c>
    </row>
    <row r="128" spans="1:37">
      <c r="A128" s="3">
        <v>30065</v>
      </c>
      <c r="B128" s="2" t="s">
        <v>222</v>
      </c>
      <c r="C128" s="3" t="s">
        <v>46</v>
      </c>
      <c r="D128" s="3" t="s">
        <v>46</v>
      </c>
      <c r="E128" s="3" t="s">
        <v>60</v>
      </c>
      <c r="F128" s="3" t="s">
        <v>61</v>
      </c>
      <c r="G128" s="3" t="s">
        <v>220</v>
      </c>
      <c r="H128" s="3"/>
      <c r="I128" s="3" t="s">
        <v>221</v>
      </c>
      <c r="J128" s="3" t="s">
        <v>49</v>
      </c>
      <c r="K128" s="4"/>
      <c r="L128" s="3"/>
      <c r="M128" s="4"/>
      <c r="N128" s="2">
        <v>5</v>
      </c>
      <c r="O128" s="5" t="s">
        <v>55</v>
      </c>
      <c r="P128" s="25">
        <v>19.2</v>
      </c>
      <c r="Q128" s="26">
        <f t="shared" si="0"/>
        <v>604.79999999999995</v>
      </c>
      <c r="R128" s="27">
        <v>2</v>
      </c>
      <c r="S128" s="2"/>
      <c r="T128" s="2">
        <v>51</v>
      </c>
      <c r="U128" s="2"/>
      <c r="V128" s="10">
        <v>14915</v>
      </c>
      <c r="W128" s="10">
        <v>11480</v>
      </c>
      <c r="X128" s="10">
        <v>13</v>
      </c>
      <c r="Y128" s="10">
        <v>10</v>
      </c>
      <c r="Z128" s="2">
        <f t="shared" ref="Z128:AC128" si="135">_xlfn.RANK.EQ(V128,V$4:V$200)</f>
        <v>151</v>
      </c>
      <c r="AA128" s="2">
        <f t="shared" si="135"/>
        <v>182</v>
      </c>
      <c r="AB128" s="2">
        <f t="shared" si="135"/>
        <v>135</v>
      </c>
      <c r="AC128" s="2">
        <f t="shared" si="135"/>
        <v>170</v>
      </c>
      <c r="AD128" s="10">
        <f t="shared" si="2"/>
        <v>11.5</v>
      </c>
      <c r="AE128" s="2">
        <v>88</v>
      </c>
      <c r="AF128" s="10">
        <f t="shared" si="3"/>
        <v>10</v>
      </c>
      <c r="AG128" s="2">
        <v>30</v>
      </c>
      <c r="AH128" s="2"/>
      <c r="AI128" s="41">
        <f t="shared" si="92"/>
        <v>68.25</v>
      </c>
      <c r="AJ128" s="10">
        <f t="shared" si="78"/>
        <v>0</v>
      </c>
      <c r="AK128" s="10">
        <f t="shared" si="6"/>
        <v>0</v>
      </c>
    </row>
    <row r="129" spans="1:37">
      <c r="A129" s="3">
        <v>30112</v>
      </c>
      <c r="B129" s="2" t="s">
        <v>223</v>
      </c>
      <c r="C129" s="3"/>
      <c r="D129" s="3" t="s">
        <v>46</v>
      </c>
      <c r="E129" s="3" t="s">
        <v>46</v>
      </c>
      <c r="F129" s="3"/>
      <c r="G129" s="3" t="s">
        <v>191</v>
      </c>
      <c r="H129" s="3"/>
      <c r="I129" s="3" t="s">
        <v>54</v>
      </c>
      <c r="J129" s="3" t="s">
        <v>49</v>
      </c>
      <c r="K129" s="4"/>
      <c r="L129" s="3"/>
      <c r="M129" s="4"/>
      <c r="N129" s="2">
        <v>5</v>
      </c>
      <c r="O129" s="5" t="s">
        <v>55</v>
      </c>
      <c r="P129" s="25">
        <v>39.200000000000003</v>
      </c>
      <c r="Q129" s="26">
        <f t="shared" si="0"/>
        <v>1234.8000000000002</v>
      </c>
      <c r="R129" s="27">
        <v>4</v>
      </c>
      <c r="S129" s="2"/>
      <c r="T129" s="2">
        <v>51</v>
      </c>
      <c r="U129" s="2"/>
      <c r="V129" s="10">
        <v>50043</v>
      </c>
      <c r="W129" s="10">
        <v>44766</v>
      </c>
      <c r="X129" s="10">
        <v>18</v>
      </c>
      <c r="Y129" s="10">
        <v>16</v>
      </c>
      <c r="Z129" s="2">
        <f t="shared" ref="Z129:AC129" si="136">_xlfn.RANK.EQ(V129,V$4:V$200)</f>
        <v>93</v>
      </c>
      <c r="AA129" s="2">
        <f t="shared" si="136"/>
        <v>113</v>
      </c>
      <c r="AB129" s="2">
        <f t="shared" si="136"/>
        <v>119</v>
      </c>
      <c r="AC129" s="2">
        <f t="shared" si="136"/>
        <v>147</v>
      </c>
      <c r="AD129" s="10">
        <f t="shared" si="2"/>
        <v>17</v>
      </c>
      <c r="AE129" s="2">
        <v>82</v>
      </c>
      <c r="AF129" s="10">
        <f t="shared" si="3"/>
        <v>16</v>
      </c>
      <c r="AG129" s="2"/>
      <c r="AH129" s="2">
        <v>30</v>
      </c>
      <c r="AI129" s="41">
        <f t="shared" si="92"/>
        <v>76.5</v>
      </c>
      <c r="AJ129" s="10">
        <f t="shared" si="78"/>
        <v>0</v>
      </c>
      <c r="AK129" s="10">
        <f t="shared" si="6"/>
        <v>0</v>
      </c>
    </row>
    <row r="130" spans="1:37">
      <c r="A130" s="3">
        <v>70062</v>
      </c>
      <c r="B130" s="2" t="s">
        <v>224</v>
      </c>
      <c r="C130" s="3" t="s">
        <v>46</v>
      </c>
      <c r="D130" s="3" t="s">
        <v>46</v>
      </c>
      <c r="E130" s="3" t="s">
        <v>46</v>
      </c>
      <c r="F130" s="3" t="s">
        <v>61</v>
      </c>
      <c r="G130" s="3" t="s">
        <v>75</v>
      </c>
      <c r="H130" s="3"/>
      <c r="I130" s="3" t="s">
        <v>48</v>
      </c>
      <c r="J130" s="3" t="s">
        <v>49</v>
      </c>
      <c r="K130" s="4"/>
      <c r="L130" s="3"/>
      <c r="M130" s="4"/>
      <c r="N130" s="2">
        <v>5</v>
      </c>
      <c r="O130" s="5" t="s">
        <v>55</v>
      </c>
      <c r="P130" s="25">
        <v>46.53</v>
      </c>
      <c r="Q130" s="26">
        <f t="shared" si="0"/>
        <v>1465.6949999999999</v>
      </c>
      <c r="R130" s="27">
        <v>1.5</v>
      </c>
      <c r="S130" s="2"/>
      <c r="T130" s="2">
        <v>51</v>
      </c>
      <c r="U130" s="2"/>
      <c r="V130" s="10">
        <v>14502</v>
      </c>
      <c r="W130" s="10">
        <v>12307</v>
      </c>
      <c r="X130" s="10">
        <v>6</v>
      </c>
      <c r="Y130" s="10">
        <v>5</v>
      </c>
      <c r="Z130" s="2">
        <f t="shared" ref="Z130:AC130" si="137">_xlfn.RANK.EQ(V130,V$4:V$200)</f>
        <v>152</v>
      </c>
      <c r="AA130" s="2">
        <f t="shared" si="137"/>
        <v>180</v>
      </c>
      <c r="AB130" s="2">
        <f t="shared" si="137"/>
        <v>161</v>
      </c>
      <c r="AC130" s="2">
        <f t="shared" si="137"/>
        <v>192</v>
      </c>
      <c r="AD130" s="10">
        <f t="shared" si="2"/>
        <v>5.5</v>
      </c>
      <c r="AE130" s="2">
        <v>117</v>
      </c>
      <c r="AF130" s="10">
        <f t="shared" si="3"/>
        <v>5</v>
      </c>
      <c r="AG130" s="2"/>
      <c r="AH130" s="2"/>
      <c r="AI130" s="41">
        <f t="shared" si="92"/>
        <v>59.25</v>
      </c>
      <c r="AJ130" s="10">
        <f t="shared" si="78"/>
        <v>0</v>
      </c>
      <c r="AK130" s="10">
        <f t="shared" si="6"/>
        <v>0</v>
      </c>
    </row>
    <row r="131" spans="1:37">
      <c r="A131" s="3">
        <v>80071</v>
      </c>
      <c r="B131" s="2" t="s">
        <v>225</v>
      </c>
      <c r="C131" s="3"/>
      <c r="D131" s="3" t="s">
        <v>46</v>
      </c>
      <c r="E131" s="3" t="s">
        <v>46</v>
      </c>
      <c r="F131" s="3" t="s">
        <v>61</v>
      </c>
      <c r="G131" s="3" t="s">
        <v>226</v>
      </c>
      <c r="H131" s="3"/>
      <c r="I131" s="3" t="s">
        <v>114</v>
      </c>
      <c r="J131" s="3" t="s">
        <v>115</v>
      </c>
      <c r="K131" s="4"/>
      <c r="L131" s="3"/>
      <c r="M131" s="4"/>
      <c r="N131" s="2">
        <v>5</v>
      </c>
      <c r="O131" s="5" t="s">
        <v>50</v>
      </c>
      <c r="P131" s="25">
        <v>940.5</v>
      </c>
      <c r="Q131" s="26">
        <f t="shared" si="0"/>
        <v>940.5</v>
      </c>
      <c r="R131" s="27">
        <v>1.5</v>
      </c>
      <c r="S131" s="2"/>
      <c r="T131" s="2">
        <v>51</v>
      </c>
      <c r="U131" s="2"/>
      <c r="V131" s="10">
        <v>0</v>
      </c>
      <c r="W131" s="10">
        <v>94400</v>
      </c>
      <c r="X131" s="10">
        <v>0</v>
      </c>
      <c r="Y131" s="10">
        <v>58</v>
      </c>
      <c r="Z131" s="2">
        <f t="shared" ref="Z131:AC131" si="138">_xlfn.RANK.EQ(V131,V$4:V$200)</f>
        <v>168</v>
      </c>
      <c r="AA131" s="2">
        <f t="shared" si="138"/>
        <v>54</v>
      </c>
      <c r="AB131" s="2">
        <f t="shared" si="138"/>
        <v>176</v>
      </c>
      <c r="AC131" s="2">
        <f t="shared" si="138"/>
        <v>62</v>
      </c>
      <c r="AD131" s="10">
        <f t="shared" si="2"/>
        <v>29</v>
      </c>
      <c r="AE131" s="2">
        <v>0</v>
      </c>
      <c r="AF131" s="10">
        <f t="shared" si="3"/>
        <v>58</v>
      </c>
      <c r="AG131" s="2"/>
      <c r="AH131" s="2">
        <v>0</v>
      </c>
      <c r="AI131" s="41">
        <f t="shared" si="92"/>
        <v>138</v>
      </c>
      <c r="AJ131" s="10">
        <f t="shared" si="78"/>
        <v>0</v>
      </c>
      <c r="AK131" s="10">
        <f t="shared" si="6"/>
        <v>0</v>
      </c>
    </row>
    <row r="132" spans="1:37">
      <c r="A132" s="3">
        <v>80042</v>
      </c>
      <c r="B132" s="2" t="s">
        <v>227</v>
      </c>
      <c r="C132" s="3" t="s">
        <v>46</v>
      </c>
      <c r="D132" s="3" t="s">
        <v>46</v>
      </c>
      <c r="E132" s="3" t="s">
        <v>46</v>
      </c>
      <c r="F132" s="3" t="s">
        <v>61</v>
      </c>
      <c r="G132" s="3" t="s">
        <v>226</v>
      </c>
      <c r="H132" s="3"/>
      <c r="I132" s="3" t="s">
        <v>114</v>
      </c>
      <c r="J132" s="3" t="s">
        <v>115</v>
      </c>
      <c r="K132" s="4"/>
      <c r="L132" s="3"/>
      <c r="M132" s="4"/>
      <c r="N132" s="2">
        <v>5</v>
      </c>
      <c r="O132" s="5" t="s">
        <v>50</v>
      </c>
      <c r="P132" s="25">
        <v>575</v>
      </c>
      <c r="Q132" s="26">
        <f t="shared" si="0"/>
        <v>575</v>
      </c>
      <c r="R132" s="27">
        <v>1.5</v>
      </c>
      <c r="S132" s="2"/>
      <c r="T132" s="2">
        <v>102</v>
      </c>
      <c r="U132" s="2"/>
      <c r="V132" s="10">
        <v>93638</v>
      </c>
      <c r="W132" s="10">
        <v>135373</v>
      </c>
      <c r="X132" s="10">
        <v>94</v>
      </c>
      <c r="Y132" s="10">
        <v>137</v>
      </c>
      <c r="Z132" s="2">
        <f t="shared" ref="Z132:AC132" si="139">_xlfn.RANK.EQ(V132,V$4:V$200)</f>
        <v>46</v>
      </c>
      <c r="AA132" s="2">
        <f t="shared" si="139"/>
        <v>31</v>
      </c>
      <c r="AB132" s="2">
        <f t="shared" si="139"/>
        <v>29</v>
      </c>
      <c r="AC132" s="2">
        <f t="shared" si="139"/>
        <v>20</v>
      </c>
      <c r="AD132" s="10">
        <f t="shared" si="2"/>
        <v>115.5</v>
      </c>
      <c r="AE132" s="2">
        <v>195</v>
      </c>
      <c r="AF132" s="10">
        <f t="shared" si="3"/>
        <v>137</v>
      </c>
      <c r="AG132" s="2">
        <v>110</v>
      </c>
      <c r="AH132" s="2"/>
      <c r="AI132" s="41">
        <f t="shared" si="92"/>
        <v>307.5</v>
      </c>
      <c r="AJ132" s="10">
        <f t="shared" si="78"/>
        <v>0</v>
      </c>
      <c r="AK132" s="10">
        <f t="shared" si="6"/>
        <v>0</v>
      </c>
    </row>
    <row r="133" spans="1:37">
      <c r="A133" s="3">
        <v>80056</v>
      </c>
      <c r="B133" s="2" t="s">
        <v>228</v>
      </c>
      <c r="C133" s="3" t="s">
        <v>46</v>
      </c>
      <c r="D133" s="3" t="s">
        <v>46</v>
      </c>
      <c r="E133" s="3" t="s">
        <v>46</v>
      </c>
      <c r="F133" s="3"/>
      <c r="G133" s="3" t="s">
        <v>172</v>
      </c>
      <c r="H133" s="3"/>
      <c r="I133" s="3" t="s">
        <v>119</v>
      </c>
      <c r="J133" s="3" t="s">
        <v>49</v>
      </c>
      <c r="K133" s="4"/>
      <c r="L133" s="3"/>
      <c r="M133" s="4"/>
      <c r="N133" s="2">
        <v>5</v>
      </c>
      <c r="O133" s="5" t="s">
        <v>55</v>
      </c>
      <c r="P133" s="25">
        <v>14</v>
      </c>
      <c r="Q133" s="26">
        <f t="shared" si="0"/>
        <v>441</v>
      </c>
      <c r="R133" s="27">
        <v>1.5</v>
      </c>
      <c r="S133" s="2"/>
      <c r="T133" s="2">
        <v>51</v>
      </c>
      <c r="U133" s="2"/>
      <c r="V133" s="10">
        <v>27347</v>
      </c>
      <c r="W133" s="10">
        <v>14803</v>
      </c>
      <c r="X133" s="10">
        <v>44</v>
      </c>
      <c r="Y133" s="10">
        <v>24</v>
      </c>
      <c r="Z133" s="2">
        <f t="shared" ref="Z133:AC133" si="140">_xlfn.RANK.EQ(V133,V$4:V$200)</f>
        <v>126</v>
      </c>
      <c r="AA133" s="2">
        <f t="shared" si="140"/>
        <v>172</v>
      </c>
      <c r="AB133" s="2">
        <f t="shared" si="140"/>
        <v>70</v>
      </c>
      <c r="AC133" s="2">
        <f t="shared" si="140"/>
        <v>120</v>
      </c>
      <c r="AD133" s="10">
        <f t="shared" si="2"/>
        <v>34</v>
      </c>
      <c r="AE133" s="2">
        <v>51</v>
      </c>
      <c r="AF133" s="10">
        <f t="shared" si="3"/>
        <v>24</v>
      </c>
      <c r="AG133" s="2">
        <v>60</v>
      </c>
      <c r="AH133" s="2"/>
      <c r="AI133" s="41">
        <f t="shared" si="92"/>
        <v>102</v>
      </c>
      <c r="AJ133" s="10">
        <f t="shared" si="78"/>
        <v>15</v>
      </c>
      <c r="AK133" s="10">
        <f t="shared" si="6"/>
        <v>6615</v>
      </c>
    </row>
    <row r="134" spans="1:37">
      <c r="A134" s="3">
        <v>80054</v>
      </c>
      <c r="B134" s="2" t="s">
        <v>229</v>
      </c>
      <c r="C134" s="3" t="s">
        <v>46</v>
      </c>
      <c r="D134" s="3" t="s">
        <v>46</v>
      </c>
      <c r="E134" s="3" t="s">
        <v>46</v>
      </c>
      <c r="F134" s="3"/>
      <c r="G134" s="3" t="s">
        <v>230</v>
      </c>
      <c r="H134" s="3"/>
      <c r="I134" s="3" t="s">
        <v>54</v>
      </c>
      <c r="J134" s="3" t="s">
        <v>49</v>
      </c>
      <c r="K134" s="4"/>
      <c r="L134" s="3"/>
      <c r="M134" s="4"/>
      <c r="N134" s="2">
        <v>5</v>
      </c>
      <c r="O134" s="5" t="s">
        <v>55</v>
      </c>
      <c r="P134" s="25">
        <v>16.8</v>
      </c>
      <c r="Q134" s="26">
        <f t="shared" si="0"/>
        <v>529.20000000000005</v>
      </c>
      <c r="R134" s="27">
        <v>1</v>
      </c>
      <c r="S134" s="2"/>
      <c r="T134" s="2">
        <v>153</v>
      </c>
      <c r="U134" s="2"/>
      <c r="V134" s="10">
        <v>329662</v>
      </c>
      <c r="W134" s="10">
        <v>539315</v>
      </c>
      <c r="X134" s="10">
        <v>277</v>
      </c>
      <c r="Y134" s="10">
        <v>454</v>
      </c>
      <c r="Z134" s="2">
        <f t="shared" ref="Z134:AC134" si="141">_xlfn.RANK.EQ(V134,V$4:V$200)</f>
        <v>4</v>
      </c>
      <c r="AA134" s="2">
        <f t="shared" si="141"/>
        <v>3</v>
      </c>
      <c r="AB134" s="2">
        <f t="shared" si="141"/>
        <v>5</v>
      </c>
      <c r="AC134" s="2">
        <f t="shared" si="141"/>
        <v>4</v>
      </c>
      <c r="AD134" s="10">
        <f t="shared" si="2"/>
        <v>365.5</v>
      </c>
      <c r="AE134" s="2">
        <v>457</v>
      </c>
      <c r="AF134" s="10">
        <f t="shared" si="3"/>
        <v>454</v>
      </c>
      <c r="AG134" s="2">
        <v>180</v>
      </c>
      <c r="AH134" s="2">
        <v>400</v>
      </c>
      <c r="AI134" s="41">
        <f t="shared" si="92"/>
        <v>834</v>
      </c>
      <c r="AJ134" s="10">
        <f t="shared" si="78"/>
        <v>255</v>
      </c>
      <c r="AK134" s="10">
        <f t="shared" si="6"/>
        <v>134946</v>
      </c>
    </row>
    <row r="135" spans="1:37">
      <c r="A135" s="3">
        <v>40050</v>
      </c>
      <c r="B135" s="2" t="s">
        <v>231</v>
      </c>
      <c r="C135" s="3"/>
      <c r="D135" s="3" t="s">
        <v>46</v>
      </c>
      <c r="E135" s="3" t="s">
        <v>46</v>
      </c>
      <c r="F135" s="3"/>
      <c r="G135" s="3" t="s">
        <v>230</v>
      </c>
      <c r="H135" s="3"/>
      <c r="I135" s="3" t="s">
        <v>54</v>
      </c>
      <c r="J135" s="3" t="s">
        <v>49</v>
      </c>
      <c r="K135" s="4"/>
      <c r="L135" s="3"/>
      <c r="M135" s="4"/>
      <c r="N135" s="2">
        <v>5</v>
      </c>
      <c r="O135" s="5" t="s">
        <v>55</v>
      </c>
      <c r="P135" s="25">
        <v>8.0500000000000007</v>
      </c>
      <c r="Q135" s="26">
        <f t="shared" si="0"/>
        <v>253.57500000000002</v>
      </c>
      <c r="R135" s="27">
        <v>1</v>
      </c>
      <c r="S135" s="2"/>
      <c r="T135" s="2">
        <v>102</v>
      </c>
      <c r="U135" s="2"/>
      <c r="V135" s="10">
        <v>113296</v>
      </c>
      <c r="W135" s="10">
        <v>104442</v>
      </c>
      <c r="X135" s="10">
        <v>197</v>
      </c>
      <c r="Y135" s="10">
        <v>184</v>
      </c>
      <c r="Z135" s="2">
        <f t="shared" ref="Z135:AC135" si="142">_xlfn.RANK.EQ(V135,V$4:V$200)</f>
        <v>32</v>
      </c>
      <c r="AA135" s="2">
        <f t="shared" si="142"/>
        <v>48</v>
      </c>
      <c r="AB135" s="2">
        <f t="shared" si="142"/>
        <v>8</v>
      </c>
      <c r="AC135" s="2">
        <f t="shared" si="142"/>
        <v>12</v>
      </c>
      <c r="AD135" s="10">
        <f t="shared" si="2"/>
        <v>190.5</v>
      </c>
      <c r="AE135" s="2">
        <v>50</v>
      </c>
      <c r="AF135" s="10">
        <f t="shared" si="3"/>
        <v>184</v>
      </c>
      <c r="AG135" s="2">
        <v>300</v>
      </c>
      <c r="AH135" s="2">
        <v>500</v>
      </c>
      <c r="AI135" s="41">
        <f t="shared" si="92"/>
        <v>387.75</v>
      </c>
      <c r="AJ135" s="10">
        <f t="shared" si="78"/>
        <v>0</v>
      </c>
      <c r="AK135" s="10">
        <f t="shared" si="6"/>
        <v>0</v>
      </c>
    </row>
    <row r="136" spans="1:37">
      <c r="A136" s="3">
        <v>80052</v>
      </c>
      <c r="B136" s="2" t="s">
        <v>232</v>
      </c>
      <c r="C136" s="3" t="s">
        <v>46</v>
      </c>
      <c r="D136" s="3" t="s">
        <v>46</v>
      </c>
      <c r="E136" s="3" t="s">
        <v>46</v>
      </c>
      <c r="F136" s="3"/>
      <c r="G136" s="3" t="s">
        <v>230</v>
      </c>
      <c r="H136" s="3"/>
      <c r="I136" s="3" t="s">
        <v>54</v>
      </c>
      <c r="J136" s="3" t="s">
        <v>49</v>
      </c>
      <c r="K136" s="4"/>
      <c r="L136" s="3"/>
      <c r="M136" s="4"/>
      <c r="N136" s="2">
        <v>5</v>
      </c>
      <c r="O136" s="5" t="s">
        <v>55</v>
      </c>
      <c r="P136" s="25">
        <v>27.65</v>
      </c>
      <c r="Q136" s="26">
        <f t="shared" si="0"/>
        <v>870.97499999999991</v>
      </c>
      <c r="R136" s="27">
        <v>1</v>
      </c>
      <c r="S136" s="2"/>
      <c r="T136" s="2">
        <v>102</v>
      </c>
      <c r="U136" s="2"/>
      <c r="V136" s="10">
        <v>51390</v>
      </c>
      <c r="W136" s="10">
        <v>66731</v>
      </c>
      <c r="X136" s="10">
        <v>27</v>
      </c>
      <c r="Y136" s="10">
        <v>35</v>
      </c>
      <c r="Z136" s="2">
        <f t="shared" ref="Z136:AC136" si="143">_xlfn.RANK.EQ(V136,V$4:V$200)</f>
        <v>89</v>
      </c>
      <c r="AA136" s="2">
        <f t="shared" si="143"/>
        <v>84</v>
      </c>
      <c r="AB136" s="2">
        <f t="shared" si="143"/>
        <v>100</v>
      </c>
      <c r="AC136" s="2">
        <f t="shared" si="143"/>
        <v>99</v>
      </c>
      <c r="AD136" s="10">
        <f t="shared" si="2"/>
        <v>31</v>
      </c>
      <c r="AE136" s="2">
        <v>166</v>
      </c>
      <c r="AF136" s="10">
        <f t="shared" si="3"/>
        <v>35</v>
      </c>
      <c r="AG136" s="2"/>
      <c r="AH136" s="2"/>
      <c r="AI136" s="41">
        <f t="shared" si="92"/>
        <v>154.5</v>
      </c>
      <c r="AJ136" s="10">
        <f t="shared" si="78"/>
        <v>25</v>
      </c>
      <c r="AK136" s="10">
        <f t="shared" si="6"/>
        <v>21774.374999999996</v>
      </c>
    </row>
    <row r="137" spans="1:37">
      <c r="A137" s="3">
        <v>80060</v>
      </c>
      <c r="B137" s="2" t="s">
        <v>233</v>
      </c>
      <c r="C137" s="3"/>
      <c r="D137" s="3" t="s">
        <v>46</v>
      </c>
      <c r="E137" s="3" t="s">
        <v>46</v>
      </c>
      <c r="F137" s="3"/>
      <c r="G137" s="3" t="s">
        <v>230</v>
      </c>
      <c r="H137" s="3"/>
      <c r="I137" s="3" t="s">
        <v>54</v>
      </c>
      <c r="J137" s="3" t="s">
        <v>49</v>
      </c>
      <c r="K137" s="4"/>
      <c r="L137" s="3"/>
      <c r="M137" s="4"/>
      <c r="N137" s="2">
        <v>5</v>
      </c>
      <c r="O137" s="5" t="s">
        <v>55</v>
      </c>
      <c r="P137" s="25">
        <v>14.7</v>
      </c>
      <c r="Q137" s="26">
        <f t="shared" si="0"/>
        <v>463.04999999999995</v>
      </c>
      <c r="R137" s="27">
        <v>1</v>
      </c>
      <c r="S137" s="2"/>
      <c r="T137" s="2">
        <v>51</v>
      </c>
      <c r="U137" s="2"/>
      <c r="V137" s="10">
        <v>16459</v>
      </c>
      <c r="W137" s="10">
        <v>26799</v>
      </c>
      <c r="X137" s="10">
        <v>16</v>
      </c>
      <c r="Y137" s="10">
        <v>26</v>
      </c>
      <c r="Z137" s="2">
        <f t="shared" ref="Z137:AC137" si="144">_xlfn.RANK.EQ(V137,V$4:V$200)</f>
        <v>149</v>
      </c>
      <c r="AA137" s="2">
        <f t="shared" si="144"/>
        <v>152</v>
      </c>
      <c r="AB137" s="2">
        <f t="shared" si="144"/>
        <v>123</v>
      </c>
      <c r="AC137" s="2">
        <f t="shared" si="144"/>
        <v>113</v>
      </c>
      <c r="AD137" s="10">
        <f t="shared" si="2"/>
        <v>21</v>
      </c>
      <c r="AE137" s="2">
        <v>134</v>
      </c>
      <c r="AF137" s="10">
        <f t="shared" si="3"/>
        <v>26</v>
      </c>
      <c r="AG137" s="2"/>
      <c r="AH137" s="2"/>
      <c r="AI137" s="41">
        <f t="shared" si="92"/>
        <v>90</v>
      </c>
      <c r="AJ137" s="10">
        <f t="shared" si="78"/>
        <v>0</v>
      </c>
      <c r="AK137" s="10">
        <f t="shared" si="6"/>
        <v>0</v>
      </c>
    </row>
    <row r="138" spans="1:37">
      <c r="A138" s="3">
        <v>80065</v>
      </c>
      <c r="B138" s="2" t="s">
        <v>234</v>
      </c>
      <c r="C138" s="3"/>
      <c r="D138" s="3" t="s">
        <v>46</v>
      </c>
      <c r="E138" s="3" t="s">
        <v>46</v>
      </c>
      <c r="F138" s="3"/>
      <c r="G138" s="3" t="s">
        <v>230</v>
      </c>
      <c r="H138" s="3"/>
      <c r="I138" s="3" t="s">
        <v>54</v>
      </c>
      <c r="J138" s="3" t="s">
        <v>49</v>
      </c>
      <c r="K138" s="4"/>
      <c r="L138" s="3"/>
      <c r="M138" s="4"/>
      <c r="N138" s="2">
        <v>5</v>
      </c>
      <c r="O138" s="5" t="s">
        <v>55</v>
      </c>
      <c r="P138" s="25">
        <v>12.25</v>
      </c>
      <c r="Q138" s="26">
        <f t="shared" si="0"/>
        <v>385.875</v>
      </c>
      <c r="R138" s="27">
        <v>1</v>
      </c>
      <c r="S138" s="2"/>
      <c r="T138" s="2">
        <v>102</v>
      </c>
      <c r="U138" s="2"/>
      <c r="V138" s="10">
        <v>73262</v>
      </c>
      <c r="W138" s="10">
        <v>79907</v>
      </c>
      <c r="X138" s="10">
        <v>84</v>
      </c>
      <c r="Y138" s="10">
        <v>92</v>
      </c>
      <c r="Z138" s="2">
        <f t="shared" ref="Z138:AC138" si="145">_xlfn.RANK.EQ(V138,V$4:V$200)</f>
        <v>56</v>
      </c>
      <c r="AA138" s="2">
        <f t="shared" si="145"/>
        <v>67</v>
      </c>
      <c r="AB138" s="2">
        <f t="shared" si="145"/>
        <v>32</v>
      </c>
      <c r="AC138" s="2">
        <f t="shared" si="145"/>
        <v>37</v>
      </c>
      <c r="AD138" s="10">
        <f t="shared" si="2"/>
        <v>88</v>
      </c>
      <c r="AE138" s="2">
        <v>316</v>
      </c>
      <c r="AF138" s="10">
        <f t="shared" si="3"/>
        <v>92</v>
      </c>
      <c r="AG138" s="2"/>
      <c r="AH138" s="2"/>
      <c r="AI138" s="41">
        <f t="shared" si="92"/>
        <v>240</v>
      </c>
      <c r="AJ138" s="10">
        <f t="shared" si="78"/>
        <v>20</v>
      </c>
      <c r="AK138" s="10">
        <f t="shared" si="6"/>
        <v>7717.5</v>
      </c>
    </row>
    <row r="139" spans="1:37">
      <c r="A139" s="3">
        <v>80022</v>
      </c>
      <c r="B139" s="2" t="s">
        <v>235</v>
      </c>
      <c r="C139" s="3" t="s">
        <v>46</v>
      </c>
      <c r="D139" s="3" t="s">
        <v>46</v>
      </c>
      <c r="E139" s="3" t="s">
        <v>46</v>
      </c>
      <c r="F139" s="3"/>
      <c r="G139" s="3" t="s">
        <v>230</v>
      </c>
      <c r="H139" s="3"/>
      <c r="I139" s="3" t="s">
        <v>54</v>
      </c>
      <c r="J139" s="3" t="s">
        <v>49</v>
      </c>
      <c r="K139" s="4"/>
      <c r="L139" s="3"/>
      <c r="M139" s="4"/>
      <c r="N139" s="2">
        <v>5</v>
      </c>
      <c r="O139" s="5" t="s">
        <v>55</v>
      </c>
      <c r="P139" s="25">
        <v>12.95</v>
      </c>
      <c r="Q139" s="26">
        <f t="shared" si="0"/>
        <v>407.92499999999995</v>
      </c>
      <c r="R139" s="27">
        <v>1.5</v>
      </c>
      <c r="S139" s="2"/>
      <c r="T139" s="2">
        <v>51</v>
      </c>
      <c r="U139" s="2"/>
      <c r="V139" s="10">
        <v>63543</v>
      </c>
      <c r="W139" s="10">
        <v>70272</v>
      </c>
      <c r="X139" s="10">
        <v>71</v>
      </c>
      <c r="Y139" s="10">
        <v>78</v>
      </c>
      <c r="Z139" s="2">
        <f t="shared" ref="Z139:AC139" si="146">_xlfn.RANK.EQ(V139,V$4:V$200)</f>
        <v>67</v>
      </c>
      <c r="AA139" s="2">
        <f t="shared" si="146"/>
        <v>78</v>
      </c>
      <c r="AB139" s="2">
        <f t="shared" si="146"/>
        <v>43</v>
      </c>
      <c r="AC139" s="2">
        <f t="shared" si="146"/>
        <v>46</v>
      </c>
      <c r="AD139" s="10">
        <f t="shared" si="2"/>
        <v>74.5</v>
      </c>
      <c r="AE139" s="2">
        <v>193</v>
      </c>
      <c r="AF139" s="10">
        <f t="shared" si="3"/>
        <v>78</v>
      </c>
      <c r="AG139" s="2">
        <v>60</v>
      </c>
      <c r="AH139" s="2"/>
      <c r="AI139" s="41">
        <f t="shared" si="92"/>
        <v>168</v>
      </c>
      <c r="AJ139" s="10">
        <f t="shared" si="78"/>
        <v>0</v>
      </c>
      <c r="AK139" s="10">
        <f t="shared" si="6"/>
        <v>0</v>
      </c>
    </row>
    <row r="140" spans="1:37">
      <c r="A140" s="3">
        <v>80058</v>
      </c>
      <c r="B140" s="2" t="s">
        <v>236</v>
      </c>
      <c r="C140" s="3" t="s">
        <v>46</v>
      </c>
      <c r="D140" s="3" t="s">
        <v>46</v>
      </c>
      <c r="E140" s="3" t="s">
        <v>46</v>
      </c>
      <c r="F140" s="3"/>
      <c r="G140" s="3" t="s">
        <v>237</v>
      </c>
      <c r="H140" s="3"/>
      <c r="I140" s="3" t="s">
        <v>54</v>
      </c>
      <c r="J140" s="3" t="s">
        <v>115</v>
      </c>
      <c r="K140" s="4"/>
      <c r="L140" s="3"/>
      <c r="M140" s="4"/>
      <c r="N140" s="2">
        <v>5</v>
      </c>
      <c r="O140" s="5" t="s">
        <v>50</v>
      </c>
      <c r="P140" s="25">
        <v>765</v>
      </c>
      <c r="Q140" s="26">
        <f t="shared" si="0"/>
        <v>765</v>
      </c>
      <c r="R140" s="27">
        <v>1</v>
      </c>
      <c r="S140" s="2"/>
      <c r="T140" s="2">
        <v>51</v>
      </c>
      <c r="U140" s="2"/>
      <c r="V140" s="10">
        <v>33270</v>
      </c>
      <c r="W140" s="10">
        <v>26597</v>
      </c>
      <c r="X140" s="10">
        <v>25</v>
      </c>
      <c r="Y140" s="10">
        <v>20</v>
      </c>
      <c r="Z140" s="2">
        <f t="shared" ref="Z140:AC140" si="147">_xlfn.RANK.EQ(V140,V$4:V$200)</f>
        <v>114</v>
      </c>
      <c r="AA140" s="2">
        <f t="shared" si="147"/>
        <v>154</v>
      </c>
      <c r="AB140" s="2">
        <f t="shared" si="147"/>
        <v>106</v>
      </c>
      <c r="AC140" s="2">
        <f t="shared" si="147"/>
        <v>131</v>
      </c>
      <c r="AD140" s="10">
        <f t="shared" si="2"/>
        <v>22.5</v>
      </c>
      <c r="AE140" s="2">
        <v>149</v>
      </c>
      <c r="AF140" s="10">
        <f t="shared" si="3"/>
        <v>20</v>
      </c>
      <c r="AG140" s="2">
        <v>100</v>
      </c>
      <c r="AH140" s="2">
        <v>0</v>
      </c>
      <c r="AI140" s="41">
        <f t="shared" si="92"/>
        <v>84.75</v>
      </c>
      <c r="AJ140" s="10">
        <f t="shared" si="78"/>
        <v>0</v>
      </c>
      <c r="AK140" s="10">
        <f t="shared" si="6"/>
        <v>0</v>
      </c>
    </row>
    <row r="141" spans="1:37">
      <c r="A141" s="3">
        <v>80059</v>
      </c>
      <c r="B141" s="2" t="s">
        <v>238</v>
      </c>
      <c r="C141" s="3" t="s">
        <v>46</v>
      </c>
      <c r="D141" s="3" t="s">
        <v>46</v>
      </c>
      <c r="E141" s="3" t="s">
        <v>46</v>
      </c>
      <c r="F141" s="3"/>
      <c r="G141" s="3" t="s">
        <v>237</v>
      </c>
      <c r="H141" s="3"/>
      <c r="I141" s="3" t="s">
        <v>54</v>
      </c>
      <c r="J141" s="3" t="s">
        <v>115</v>
      </c>
      <c r="K141" s="4"/>
      <c r="L141" s="3"/>
      <c r="M141" s="4"/>
      <c r="N141" s="2">
        <v>5</v>
      </c>
      <c r="O141" s="5" t="s">
        <v>50</v>
      </c>
      <c r="P141" s="25">
        <v>986</v>
      </c>
      <c r="Q141" s="26">
        <f t="shared" si="0"/>
        <v>986</v>
      </c>
      <c r="R141" s="27">
        <v>1.5</v>
      </c>
      <c r="S141" s="2"/>
      <c r="T141" s="2">
        <v>51</v>
      </c>
      <c r="U141" s="2"/>
      <c r="V141" s="10">
        <v>25305</v>
      </c>
      <c r="W141" s="10">
        <v>20442</v>
      </c>
      <c r="X141" s="10">
        <v>15</v>
      </c>
      <c r="Y141" s="10">
        <v>12</v>
      </c>
      <c r="Z141" s="2">
        <f t="shared" ref="Z141:AC141" si="148">_xlfn.RANK.EQ(V141,V$4:V$200)</f>
        <v>130</v>
      </c>
      <c r="AA141" s="2">
        <f t="shared" si="148"/>
        <v>161</v>
      </c>
      <c r="AB141" s="2">
        <f t="shared" si="148"/>
        <v>126</v>
      </c>
      <c r="AC141" s="2">
        <f t="shared" si="148"/>
        <v>161</v>
      </c>
      <c r="AD141" s="10">
        <f t="shared" si="2"/>
        <v>13.5</v>
      </c>
      <c r="AE141" s="2">
        <v>103</v>
      </c>
      <c r="AF141" s="10">
        <f t="shared" si="3"/>
        <v>12</v>
      </c>
      <c r="AG141" s="2"/>
      <c r="AH141" s="2">
        <v>0</v>
      </c>
      <c r="AI141" s="41">
        <f t="shared" si="92"/>
        <v>71.25</v>
      </c>
      <c r="AJ141" s="10">
        <f t="shared" si="78"/>
        <v>0</v>
      </c>
      <c r="AK141" s="10">
        <f t="shared" si="6"/>
        <v>0</v>
      </c>
    </row>
    <row r="142" spans="1:37">
      <c r="A142" s="3">
        <v>80062</v>
      </c>
      <c r="B142" s="2" t="s">
        <v>239</v>
      </c>
      <c r="C142" s="3"/>
      <c r="D142" s="3" t="s">
        <v>46</v>
      </c>
      <c r="E142" s="3" t="s">
        <v>60</v>
      </c>
      <c r="F142" s="3" t="s">
        <v>61</v>
      </c>
      <c r="G142" s="3" t="s">
        <v>240</v>
      </c>
      <c r="H142" s="3"/>
      <c r="I142" s="3" t="s">
        <v>221</v>
      </c>
      <c r="J142" s="3" t="s">
        <v>49</v>
      </c>
      <c r="K142" s="4"/>
      <c r="L142" s="3"/>
      <c r="M142" s="4"/>
      <c r="N142" s="2">
        <v>5</v>
      </c>
      <c r="O142" s="5" t="s">
        <v>55</v>
      </c>
      <c r="P142" s="25">
        <v>27.99</v>
      </c>
      <c r="Q142" s="26">
        <f t="shared" si="0"/>
        <v>881.68499999999995</v>
      </c>
      <c r="R142" s="27">
        <v>1.5</v>
      </c>
      <c r="S142" s="2"/>
      <c r="T142" s="2">
        <v>51</v>
      </c>
      <c r="U142" s="2"/>
      <c r="V142" s="10">
        <v>67217</v>
      </c>
      <c r="W142" s="10">
        <v>68456</v>
      </c>
      <c r="X142" s="10">
        <v>39</v>
      </c>
      <c r="Y142" s="10">
        <v>40</v>
      </c>
      <c r="Z142" s="2">
        <f t="shared" ref="Z142:AC142" si="149">_xlfn.RANK.EQ(V142,V$4:V$200)</f>
        <v>61</v>
      </c>
      <c r="AA142" s="2">
        <f t="shared" si="149"/>
        <v>81</v>
      </c>
      <c r="AB142" s="2">
        <f t="shared" si="149"/>
        <v>78</v>
      </c>
      <c r="AC142" s="2">
        <f t="shared" si="149"/>
        <v>90</v>
      </c>
      <c r="AD142" s="10">
        <f t="shared" si="2"/>
        <v>39.5</v>
      </c>
      <c r="AE142" s="2">
        <v>110</v>
      </c>
      <c r="AF142" s="10">
        <f t="shared" si="3"/>
        <v>40</v>
      </c>
      <c r="AG142" s="2"/>
      <c r="AH142" s="2"/>
      <c r="AI142" s="41">
        <f t="shared" si="92"/>
        <v>111</v>
      </c>
      <c r="AJ142" s="10">
        <f t="shared" si="78"/>
        <v>0</v>
      </c>
      <c r="AK142" s="10">
        <f t="shared" si="6"/>
        <v>0</v>
      </c>
    </row>
    <row r="143" spans="1:37">
      <c r="A143" s="3">
        <v>80064</v>
      </c>
      <c r="B143" s="2" t="s">
        <v>241</v>
      </c>
      <c r="C143" s="3"/>
      <c r="D143" s="3" t="s">
        <v>46</v>
      </c>
      <c r="E143" s="3" t="s">
        <v>46</v>
      </c>
      <c r="F143" s="3"/>
      <c r="G143" s="3" t="s">
        <v>240</v>
      </c>
      <c r="H143" s="3"/>
      <c r="I143" s="3" t="s">
        <v>221</v>
      </c>
      <c r="J143" s="3" t="s">
        <v>49</v>
      </c>
      <c r="K143" s="4"/>
      <c r="L143" s="3"/>
      <c r="M143" s="4"/>
      <c r="N143" s="2">
        <v>5</v>
      </c>
      <c r="O143" s="5" t="s">
        <v>55</v>
      </c>
      <c r="P143" s="25">
        <v>39.6</v>
      </c>
      <c r="Q143" s="26">
        <f t="shared" si="0"/>
        <v>1247.4000000000001</v>
      </c>
      <c r="R143" s="27">
        <v>1.5</v>
      </c>
      <c r="S143" s="2"/>
      <c r="T143" s="2">
        <v>51</v>
      </c>
      <c r="U143" s="2"/>
      <c r="V143" s="10">
        <v>85008</v>
      </c>
      <c r="W143" s="10">
        <v>82126</v>
      </c>
      <c r="X143" s="10">
        <v>35</v>
      </c>
      <c r="Y143" s="10">
        <v>34</v>
      </c>
      <c r="Z143" s="2">
        <f t="shared" ref="Z143:AC143" si="150">_xlfn.RANK.EQ(V143,V$4:V$200)</f>
        <v>51</v>
      </c>
      <c r="AA143" s="2">
        <f t="shared" si="150"/>
        <v>63</v>
      </c>
      <c r="AB143" s="2">
        <f t="shared" si="150"/>
        <v>86</v>
      </c>
      <c r="AC143" s="2">
        <f t="shared" si="150"/>
        <v>101</v>
      </c>
      <c r="AD143" s="10">
        <f t="shared" si="2"/>
        <v>34.5</v>
      </c>
      <c r="AE143" s="2">
        <v>85</v>
      </c>
      <c r="AF143" s="10">
        <f t="shared" si="3"/>
        <v>34</v>
      </c>
      <c r="AG143" s="2"/>
      <c r="AH143" s="2">
        <v>120</v>
      </c>
      <c r="AI143" s="41">
        <f t="shared" si="92"/>
        <v>102.75</v>
      </c>
      <c r="AJ143" s="10">
        <f t="shared" si="78"/>
        <v>0</v>
      </c>
      <c r="AK143" s="10">
        <f t="shared" si="6"/>
        <v>0</v>
      </c>
    </row>
    <row r="144" spans="1:37">
      <c r="A144" s="3">
        <v>80029</v>
      </c>
      <c r="B144" s="2" t="s">
        <v>242</v>
      </c>
      <c r="C144" s="3" t="s">
        <v>46</v>
      </c>
      <c r="D144" s="3" t="s">
        <v>46</v>
      </c>
      <c r="E144" s="3" t="s">
        <v>46</v>
      </c>
      <c r="F144" s="3"/>
      <c r="G144" s="3" t="s">
        <v>243</v>
      </c>
      <c r="H144" s="3"/>
      <c r="I144" s="3" t="s">
        <v>54</v>
      </c>
      <c r="J144" s="3" t="s">
        <v>115</v>
      </c>
      <c r="K144" s="4"/>
      <c r="L144" s="3"/>
      <c r="M144" s="4"/>
      <c r="N144" s="2">
        <v>5</v>
      </c>
      <c r="O144" s="5" t="s">
        <v>50</v>
      </c>
      <c r="P144" s="33">
        <v>1150</v>
      </c>
      <c r="Q144" s="26">
        <f t="shared" si="0"/>
        <v>1150</v>
      </c>
      <c r="R144" s="27">
        <v>1.5</v>
      </c>
      <c r="S144" s="2"/>
      <c r="T144" s="2">
        <v>153</v>
      </c>
      <c r="U144" s="2"/>
      <c r="V144" s="10">
        <v>128534</v>
      </c>
      <c r="W144" s="10">
        <v>173385</v>
      </c>
      <c r="X144" s="10">
        <v>70</v>
      </c>
      <c r="Y144" s="10">
        <v>95</v>
      </c>
      <c r="Z144" s="2">
        <f t="shared" ref="Z144:AC144" si="151">_xlfn.RANK.EQ(V144,V$4:V$200)</f>
        <v>22</v>
      </c>
      <c r="AA144" s="2">
        <f t="shared" si="151"/>
        <v>16</v>
      </c>
      <c r="AB144" s="2">
        <f t="shared" si="151"/>
        <v>44</v>
      </c>
      <c r="AC144" s="2">
        <f t="shared" si="151"/>
        <v>35</v>
      </c>
      <c r="AD144" s="10">
        <f t="shared" si="2"/>
        <v>82.5</v>
      </c>
      <c r="AE144" s="2">
        <v>383</v>
      </c>
      <c r="AF144" s="10">
        <f t="shared" si="3"/>
        <v>95</v>
      </c>
      <c r="AG144" s="2"/>
      <c r="AH144" s="2">
        <v>0</v>
      </c>
      <c r="AI144" s="41">
        <f t="shared" si="92"/>
        <v>295.5</v>
      </c>
      <c r="AJ144" s="10">
        <f t="shared" si="78"/>
        <v>10</v>
      </c>
      <c r="AK144" s="10">
        <f t="shared" si="6"/>
        <v>11500</v>
      </c>
    </row>
    <row r="145" spans="1:37">
      <c r="A145" s="3">
        <v>50002</v>
      </c>
      <c r="B145" s="2" t="s">
        <v>244</v>
      </c>
      <c r="C145" s="3"/>
      <c r="D145" s="3" t="s">
        <v>46</v>
      </c>
      <c r="E145" s="3" t="s">
        <v>46</v>
      </c>
      <c r="F145" s="3"/>
      <c r="G145" s="3" t="s">
        <v>52</v>
      </c>
      <c r="H145" s="3"/>
      <c r="I145" s="3" t="s">
        <v>54</v>
      </c>
      <c r="J145" s="3" t="s">
        <v>49</v>
      </c>
      <c r="K145" s="4"/>
      <c r="L145" s="3" t="s">
        <v>55</v>
      </c>
      <c r="M145" s="4">
        <v>20000</v>
      </c>
      <c r="N145" s="2">
        <v>5</v>
      </c>
      <c r="O145" s="5" t="s">
        <v>55</v>
      </c>
      <c r="P145" s="25">
        <v>37.799999999999997</v>
      </c>
      <c r="Q145" s="26">
        <f t="shared" si="0"/>
        <v>1190.6999999999998</v>
      </c>
      <c r="R145" s="27">
        <v>2</v>
      </c>
      <c r="S145" s="2"/>
      <c r="T145" s="2">
        <v>51</v>
      </c>
      <c r="U145" s="2"/>
      <c r="V145" s="10">
        <v>23944</v>
      </c>
      <c r="W145" s="10">
        <v>29056</v>
      </c>
      <c r="X145" s="10">
        <v>13</v>
      </c>
      <c r="Y145" s="10">
        <v>16</v>
      </c>
      <c r="Z145" s="2">
        <f t="shared" ref="Z145:AC145" si="152">_xlfn.RANK.EQ(V145,V$4:V$200)</f>
        <v>132</v>
      </c>
      <c r="AA145" s="2">
        <f t="shared" si="152"/>
        <v>142</v>
      </c>
      <c r="AB145" s="2">
        <f t="shared" si="152"/>
        <v>135</v>
      </c>
      <c r="AC145" s="2">
        <f t="shared" si="152"/>
        <v>147</v>
      </c>
      <c r="AD145" s="10">
        <f t="shared" si="2"/>
        <v>14.5</v>
      </c>
      <c r="AE145" s="2">
        <v>175</v>
      </c>
      <c r="AF145" s="10">
        <f t="shared" si="3"/>
        <v>16</v>
      </c>
      <c r="AG145" s="2"/>
      <c r="AH145" s="2"/>
      <c r="AI145" s="41">
        <f t="shared" si="92"/>
        <v>75</v>
      </c>
      <c r="AJ145" s="10">
        <f t="shared" si="78"/>
        <v>0</v>
      </c>
      <c r="AK145" s="10">
        <f t="shared" si="6"/>
        <v>0</v>
      </c>
    </row>
    <row r="146" spans="1:37">
      <c r="A146" s="3">
        <v>50029</v>
      </c>
      <c r="B146" s="2" t="s">
        <v>245</v>
      </c>
      <c r="C146" s="3"/>
      <c r="D146" s="3" t="s">
        <v>46</v>
      </c>
      <c r="E146" s="3" t="s">
        <v>46</v>
      </c>
      <c r="F146" s="3"/>
      <c r="G146" s="3" t="s">
        <v>246</v>
      </c>
      <c r="H146" s="3"/>
      <c r="I146" s="3" t="s">
        <v>54</v>
      </c>
      <c r="J146" s="3" t="s">
        <v>115</v>
      </c>
      <c r="K146" s="4"/>
      <c r="L146" s="3"/>
      <c r="M146" s="4"/>
      <c r="N146" s="2">
        <v>5</v>
      </c>
      <c r="O146" s="5" t="s">
        <v>50</v>
      </c>
      <c r="P146" s="25">
        <v>370</v>
      </c>
      <c r="Q146" s="26">
        <f t="shared" si="0"/>
        <v>370</v>
      </c>
      <c r="R146" s="27">
        <v>1.5</v>
      </c>
      <c r="S146" s="2"/>
      <c r="T146" s="2">
        <v>51</v>
      </c>
      <c r="U146" s="2"/>
      <c r="V146" s="10">
        <v>17333</v>
      </c>
      <c r="W146" s="10">
        <v>18016</v>
      </c>
      <c r="X146" s="10">
        <v>23</v>
      </c>
      <c r="Y146" s="10">
        <v>24</v>
      </c>
      <c r="Z146" s="2">
        <f t="shared" ref="Z146:AC146" si="153">_xlfn.RANK.EQ(V146,V$4:V$200)</f>
        <v>147</v>
      </c>
      <c r="AA146" s="2">
        <f t="shared" si="153"/>
        <v>165</v>
      </c>
      <c r="AB146" s="2">
        <f t="shared" si="153"/>
        <v>111</v>
      </c>
      <c r="AC146" s="2">
        <f t="shared" si="153"/>
        <v>120</v>
      </c>
      <c r="AD146" s="10">
        <f t="shared" si="2"/>
        <v>23.5</v>
      </c>
      <c r="AE146" s="2">
        <v>97</v>
      </c>
      <c r="AF146" s="10">
        <f t="shared" si="3"/>
        <v>24</v>
      </c>
      <c r="AG146" s="2"/>
      <c r="AH146" s="2">
        <v>0</v>
      </c>
      <c r="AI146" s="41">
        <f t="shared" si="92"/>
        <v>87</v>
      </c>
      <c r="AJ146" s="10">
        <f t="shared" si="78"/>
        <v>15</v>
      </c>
      <c r="AK146" s="10">
        <f t="shared" si="6"/>
        <v>5550</v>
      </c>
    </row>
    <row r="147" spans="1:37">
      <c r="A147" s="3">
        <v>50024</v>
      </c>
      <c r="B147" s="2" t="s">
        <v>247</v>
      </c>
      <c r="C147" s="3" t="s">
        <v>46</v>
      </c>
      <c r="D147" s="3" t="s">
        <v>46</v>
      </c>
      <c r="E147" s="3" t="s">
        <v>60</v>
      </c>
      <c r="F147" s="3" t="s">
        <v>61</v>
      </c>
      <c r="G147" s="3" t="s">
        <v>248</v>
      </c>
      <c r="H147" s="3"/>
      <c r="I147" s="3" t="s">
        <v>114</v>
      </c>
      <c r="J147" s="3" t="s">
        <v>115</v>
      </c>
      <c r="K147" s="4">
        <f>50000/200</f>
        <v>250</v>
      </c>
      <c r="L147" s="3"/>
      <c r="M147" s="4"/>
      <c r="N147" s="2">
        <v>4</v>
      </c>
      <c r="O147" s="5" t="s">
        <v>50</v>
      </c>
      <c r="P147" s="25">
        <v>362</v>
      </c>
      <c r="Q147" s="26">
        <f t="shared" si="0"/>
        <v>362</v>
      </c>
      <c r="R147" s="27">
        <v>1.5</v>
      </c>
      <c r="S147" s="2"/>
      <c r="T147" s="2">
        <v>51</v>
      </c>
      <c r="U147" s="2"/>
      <c r="V147" s="10">
        <v>19932</v>
      </c>
      <c r="W147" s="10">
        <v>16546</v>
      </c>
      <c r="X147" s="10">
        <v>32</v>
      </c>
      <c r="Y147" s="10">
        <v>26</v>
      </c>
      <c r="Z147" s="2">
        <f t="shared" ref="Z147:AC147" si="154">_xlfn.RANK.EQ(V147,V$4:V$200)</f>
        <v>143</v>
      </c>
      <c r="AA147" s="2">
        <f t="shared" si="154"/>
        <v>171</v>
      </c>
      <c r="AB147" s="2">
        <f t="shared" si="154"/>
        <v>95</v>
      </c>
      <c r="AC147" s="2">
        <f t="shared" si="154"/>
        <v>113</v>
      </c>
      <c r="AD147" s="10">
        <f t="shared" si="2"/>
        <v>29</v>
      </c>
      <c r="AE147" s="2">
        <v>79</v>
      </c>
      <c r="AF147" s="10">
        <f t="shared" si="3"/>
        <v>26</v>
      </c>
      <c r="AG147" s="2"/>
      <c r="AH147" s="2">
        <v>0</v>
      </c>
      <c r="AI147" s="41">
        <f t="shared" si="92"/>
        <v>94.5</v>
      </c>
      <c r="AJ147" s="10">
        <f t="shared" si="78"/>
        <v>0</v>
      </c>
      <c r="AK147" s="10">
        <f t="shared" si="6"/>
        <v>0</v>
      </c>
    </row>
    <row r="148" spans="1:37">
      <c r="A148" s="3">
        <v>50017</v>
      </c>
      <c r="B148" s="2" t="s">
        <v>249</v>
      </c>
      <c r="C148" s="3" t="s">
        <v>46</v>
      </c>
      <c r="D148" s="3" t="s">
        <v>46</v>
      </c>
      <c r="E148" s="3" t="s">
        <v>46</v>
      </c>
      <c r="F148" s="3"/>
      <c r="G148" s="3" t="s">
        <v>250</v>
      </c>
      <c r="H148" s="3"/>
      <c r="I148" s="3" t="s">
        <v>54</v>
      </c>
      <c r="J148" s="3" t="s">
        <v>115</v>
      </c>
      <c r="K148" s="4"/>
      <c r="L148" s="3"/>
      <c r="M148" s="4"/>
      <c r="N148" s="2">
        <v>5</v>
      </c>
      <c r="O148" s="5" t="s">
        <v>50</v>
      </c>
      <c r="P148" s="25">
        <v>847</v>
      </c>
      <c r="Q148" s="26">
        <f t="shared" si="0"/>
        <v>847</v>
      </c>
      <c r="R148" s="27">
        <v>1.5</v>
      </c>
      <c r="S148" s="2"/>
      <c r="T148" s="2">
        <v>51</v>
      </c>
      <c r="U148" s="2"/>
      <c r="V148" s="10">
        <v>47437</v>
      </c>
      <c r="W148" s="10">
        <v>63768</v>
      </c>
      <c r="X148" s="10">
        <v>35</v>
      </c>
      <c r="Y148" s="10">
        <v>47</v>
      </c>
      <c r="Z148" s="2">
        <f t="shared" ref="Z148:AC148" si="155">_xlfn.RANK.EQ(V148,V$4:V$200)</f>
        <v>96</v>
      </c>
      <c r="AA148" s="2">
        <f t="shared" si="155"/>
        <v>88</v>
      </c>
      <c r="AB148" s="2">
        <f t="shared" si="155"/>
        <v>86</v>
      </c>
      <c r="AC148" s="2">
        <f t="shared" si="155"/>
        <v>77</v>
      </c>
      <c r="AD148" s="10">
        <f t="shared" si="2"/>
        <v>41</v>
      </c>
      <c r="AE148" s="2">
        <v>178</v>
      </c>
      <c r="AF148" s="10">
        <f t="shared" si="3"/>
        <v>47</v>
      </c>
      <c r="AG148" s="2"/>
      <c r="AH148" s="2">
        <v>0</v>
      </c>
      <c r="AI148" s="41">
        <f t="shared" si="92"/>
        <v>121.5</v>
      </c>
      <c r="AJ148" s="10">
        <f t="shared" si="78"/>
        <v>0</v>
      </c>
      <c r="AK148" s="10">
        <f t="shared" si="6"/>
        <v>0</v>
      </c>
    </row>
    <row r="149" spans="1:37">
      <c r="A149" s="3">
        <v>60072</v>
      </c>
      <c r="B149" s="2" t="s">
        <v>251</v>
      </c>
      <c r="C149" s="3" t="s">
        <v>46</v>
      </c>
      <c r="D149" s="3" t="s">
        <v>46</v>
      </c>
      <c r="E149" s="3" t="s">
        <v>46</v>
      </c>
      <c r="F149" s="3"/>
      <c r="G149" s="3" t="s">
        <v>252</v>
      </c>
      <c r="H149" s="3"/>
      <c r="I149" s="3" t="s">
        <v>63</v>
      </c>
      <c r="J149" s="3" t="s">
        <v>115</v>
      </c>
      <c r="K149" s="4"/>
      <c r="L149" s="3"/>
      <c r="M149" s="4"/>
      <c r="N149" s="2">
        <v>20</v>
      </c>
      <c r="O149" s="5" t="s">
        <v>50</v>
      </c>
      <c r="P149" s="25">
        <v>800</v>
      </c>
      <c r="Q149" s="26">
        <f t="shared" si="0"/>
        <v>800</v>
      </c>
      <c r="R149" s="27">
        <v>1.5</v>
      </c>
      <c r="S149" s="2"/>
      <c r="T149" s="2">
        <v>51</v>
      </c>
      <c r="U149" s="2"/>
      <c r="V149" s="10">
        <v>30670</v>
      </c>
      <c r="W149" s="10">
        <v>30736</v>
      </c>
      <c r="X149" s="10">
        <v>25</v>
      </c>
      <c r="Y149" s="10">
        <v>25</v>
      </c>
      <c r="Z149" s="2">
        <f t="shared" ref="Z149:AC149" si="156">_xlfn.RANK.EQ(V149,V$4:V$200)</f>
        <v>121</v>
      </c>
      <c r="AA149" s="2">
        <f t="shared" si="156"/>
        <v>137</v>
      </c>
      <c r="AB149" s="2">
        <f t="shared" si="156"/>
        <v>106</v>
      </c>
      <c r="AC149" s="2">
        <f t="shared" si="156"/>
        <v>116</v>
      </c>
      <c r="AD149" s="10">
        <f t="shared" si="2"/>
        <v>25</v>
      </c>
      <c r="AE149" s="2">
        <v>136</v>
      </c>
      <c r="AF149" s="10">
        <f t="shared" si="3"/>
        <v>25</v>
      </c>
      <c r="AG149" s="2"/>
      <c r="AH149" s="2">
        <v>0</v>
      </c>
      <c r="AI149" s="41">
        <f t="shared" si="92"/>
        <v>88.5</v>
      </c>
      <c r="AJ149" s="10">
        <f t="shared" si="78"/>
        <v>0</v>
      </c>
      <c r="AK149" s="10">
        <f t="shared" si="6"/>
        <v>0</v>
      </c>
    </row>
    <row r="150" spans="1:37">
      <c r="A150" s="3">
        <v>60039</v>
      </c>
      <c r="B150" s="2" t="s">
        <v>253</v>
      </c>
      <c r="C150" s="3"/>
      <c r="D150" s="3" t="s">
        <v>46</v>
      </c>
      <c r="E150" s="3" t="s">
        <v>46</v>
      </c>
      <c r="F150" s="3"/>
      <c r="G150" s="3" t="s">
        <v>254</v>
      </c>
      <c r="H150" s="3"/>
      <c r="I150" s="3" t="s">
        <v>176</v>
      </c>
      <c r="J150" s="3" t="s">
        <v>49</v>
      </c>
      <c r="K150" s="4"/>
      <c r="L150" s="3"/>
      <c r="M150" s="4"/>
      <c r="N150" s="2">
        <v>6</v>
      </c>
      <c r="O150" s="5" t="s">
        <v>50</v>
      </c>
      <c r="P150" s="33">
        <v>2400</v>
      </c>
      <c r="Q150" s="26">
        <f t="shared" si="0"/>
        <v>2400</v>
      </c>
      <c r="R150" s="27">
        <v>1.5</v>
      </c>
      <c r="S150" s="2"/>
      <c r="T150" s="2">
        <v>51</v>
      </c>
      <c r="U150" s="2"/>
      <c r="V150" s="10">
        <v>59566</v>
      </c>
      <c r="W150" s="10">
        <v>86890</v>
      </c>
      <c r="X150" s="10">
        <v>15</v>
      </c>
      <c r="Y150" s="10">
        <v>22</v>
      </c>
      <c r="Z150" s="2">
        <f t="shared" ref="Z150:AC150" si="157">_xlfn.RANK.EQ(V150,V$4:V$200)</f>
        <v>75</v>
      </c>
      <c r="AA150" s="2">
        <f t="shared" si="157"/>
        <v>58</v>
      </c>
      <c r="AB150" s="2">
        <f t="shared" si="157"/>
        <v>126</v>
      </c>
      <c r="AC150" s="2">
        <f t="shared" si="157"/>
        <v>124</v>
      </c>
      <c r="AD150" s="10">
        <f t="shared" si="2"/>
        <v>18.5</v>
      </c>
      <c r="AE150" s="2">
        <v>195</v>
      </c>
      <c r="AF150" s="10">
        <f t="shared" si="3"/>
        <v>22</v>
      </c>
      <c r="AG150" s="2"/>
      <c r="AH150" s="2"/>
      <c r="AI150" s="41">
        <f t="shared" si="92"/>
        <v>84</v>
      </c>
      <c r="AJ150" s="10">
        <f t="shared" si="78"/>
        <v>0</v>
      </c>
      <c r="AK150" s="10">
        <f t="shared" si="6"/>
        <v>0</v>
      </c>
    </row>
    <row r="151" spans="1:37">
      <c r="A151" s="3">
        <v>60052</v>
      </c>
      <c r="B151" s="2" t="s">
        <v>255</v>
      </c>
      <c r="C151" s="3" t="s">
        <v>46</v>
      </c>
      <c r="D151" s="3" t="s">
        <v>46</v>
      </c>
      <c r="E151" s="3" t="s">
        <v>46</v>
      </c>
      <c r="F151" s="3"/>
      <c r="G151" s="3" t="s">
        <v>256</v>
      </c>
      <c r="H151" s="3"/>
      <c r="I151" s="3" t="s">
        <v>48</v>
      </c>
      <c r="J151" s="3" t="s">
        <v>49</v>
      </c>
      <c r="K151" s="4"/>
      <c r="L151" s="3"/>
      <c r="M151" s="4"/>
      <c r="N151" s="2">
        <v>6</v>
      </c>
      <c r="O151" s="5" t="s">
        <v>50</v>
      </c>
      <c r="P151" s="33">
        <v>1414</v>
      </c>
      <c r="Q151" s="26">
        <f t="shared" si="0"/>
        <v>1414</v>
      </c>
      <c r="R151" s="27">
        <v>1.5</v>
      </c>
      <c r="S151" s="2"/>
      <c r="T151" s="2">
        <v>51</v>
      </c>
      <c r="U151" s="2"/>
      <c r="V151" s="10">
        <v>97850</v>
      </c>
      <c r="W151" s="10">
        <v>94139</v>
      </c>
      <c r="X151" s="10">
        <v>47</v>
      </c>
      <c r="Y151" s="10">
        <v>45</v>
      </c>
      <c r="Z151" s="2">
        <f t="shared" ref="Z151:AC151" si="158">_xlfn.RANK.EQ(V151,V$4:V$200)</f>
        <v>42</v>
      </c>
      <c r="AA151" s="2">
        <f t="shared" si="158"/>
        <v>55</v>
      </c>
      <c r="AB151" s="2">
        <f t="shared" si="158"/>
        <v>62</v>
      </c>
      <c r="AC151" s="2">
        <f t="shared" si="158"/>
        <v>85</v>
      </c>
      <c r="AD151" s="10">
        <f t="shared" si="2"/>
        <v>46</v>
      </c>
      <c r="AE151" s="2">
        <v>554</v>
      </c>
      <c r="AF151" s="10">
        <f t="shared" si="3"/>
        <v>45</v>
      </c>
      <c r="AG151" s="2"/>
      <c r="AH151" s="2"/>
      <c r="AI151" s="41">
        <f t="shared" si="92"/>
        <v>120</v>
      </c>
      <c r="AJ151" s="10">
        <f t="shared" si="78"/>
        <v>0</v>
      </c>
      <c r="AK151" s="10">
        <f t="shared" si="6"/>
        <v>0</v>
      </c>
    </row>
    <row r="152" spans="1:37">
      <c r="A152" s="3">
        <v>60045</v>
      </c>
      <c r="B152" s="2" t="s">
        <v>257</v>
      </c>
      <c r="C152" s="3" t="s">
        <v>46</v>
      </c>
      <c r="D152" s="3" t="s">
        <v>46</v>
      </c>
      <c r="E152" s="3" t="s">
        <v>46</v>
      </c>
      <c r="F152" s="3"/>
      <c r="G152" s="3" t="s">
        <v>256</v>
      </c>
      <c r="H152" s="3"/>
      <c r="I152" s="3" t="s">
        <v>48</v>
      </c>
      <c r="J152" s="3" t="s">
        <v>49</v>
      </c>
      <c r="K152" s="4"/>
      <c r="L152" s="3"/>
      <c r="M152" s="4"/>
      <c r="N152" s="2">
        <v>6</v>
      </c>
      <c r="O152" s="5" t="s">
        <v>50</v>
      </c>
      <c r="P152" s="33">
        <v>1602</v>
      </c>
      <c r="Q152" s="26">
        <f t="shared" si="0"/>
        <v>1602</v>
      </c>
      <c r="R152" s="27">
        <v>1.5</v>
      </c>
      <c r="S152" s="2"/>
      <c r="T152" s="2">
        <v>51</v>
      </c>
      <c r="U152" s="2"/>
      <c r="V152" s="10">
        <v>126486</v>
      </c>
      <c r="W152" s="10">
        <v>106782</v>
      </c>
      <c r="X152" s="10">
        <v>53</v>
      </c>
      <c r="Y152" s="10">
        <v>45</v>
      </c>
      <c r="Z152" s="2">
        <f t="shared" ref="Z152:AC152" si="159">_xlfn.RANK.EQ(V152,V$4:V$200)</f>
        <v>24</v>
      </c>
      <c r="AA152" s="2">
        <f t="shared" si="159"/>
        <v>45</v>
      </c>
      <c r="AB152" s="2">
        <f t="shared" si="159"/>
        <v>58</v>
      </c>
      <c r="AC152" s="2">
        <f t="shared" si="159"/>
        <v>85</v>
      </c>
      <c r="AD152" s="10">
        <f t="shared" si="2"/>
        <v>49</v>
      </c>
      <c r="AE152" s="2">
        <v>457</v>
      </c>
      <c r="AF152" s="10">
        <f t="shared" si="3"/>
        <v>45</v>
      </c>
      <c r="AG152" s="2"/>
      <c r="AH152" s="2"/>
      <c r="AI152" s="41">
        <f t="shared" si="92"/>
        <v>124.5</v>
      </c>
      <c r="AJ152" s="10">
        <f t="shared" si="78"/>
        <v>0</v>
      </c>
      <c r="AK152" s="10">
        <f t="shared" si="6"/>
        <v>0</v>
      </c>
    </row>
    <row r="153" spans="1:37">
      <c r="A153" s="3">
        <v>60005</v>
      </c>
      <c r="B153" s="2" t="s">
        <v>258</v>
      </c>
      <c r="C153" s="3" t="s">
        <v>46</v>
      </c>
      <c r="D153" s="3" t="s">
        <v>46</v>
      </c>
      <c r="E153" s="3" t="s">
        <v>46</v>
      </c>
      <c r="F153" s="3"/>
      <c r="G153" s="3" t="s">
        <v>259</v>
      </c>
      <c r="H153" s="3"/>
      <c r="I153" s="3" t="s">
        <v>176</v>
      </c>
      <c r="J153" s="3" t="s">
        <v>49</v>
      </c>
      <c r="K153" s="4"/>
      <c r="L153" s="3"/>
      <c r="M153" s="4"/>
      <c r="N153" s="2">
        <v>6</v>
      </c>
      <c r="O153" s="5" t="s">
        <v>177</v>
      </c>
      <c r="P153" s="33">
        <v>1900</v>
      </c>
      <c r="Q153" s="26">
        <f t="shared" si="0"/>
        <v>380</v>
      </c>
      <c r="R153" s="27">
        <v>1.5</v>
      </c>
      <c r="S153" s="2"/>
      <c r="T153" s="2">
        <v>112</v>
      </c>
      <c r="U153" s="2"/>
      <c r="V153" s="10">
        <v>183778</v>
      </c>
      <c r="W153" s="10">
        <v>148738</v>
      </c>
      <c r="X153" s="10">
        <v>183</v>
      </c>
      <c r="Y153" s="10">
        <v>148</v>
      </c>
      <c r="Z153" s="2">
        <f t="shared" ref="Z153:AC153" si="160">_xlfn.RANK.EQ(V153,V$4:V$200)</f>
        <v>11</v>
      </c>
      <c r="AA153" s="2">
        <f t="shared" si="160"/>
        <v>23</v>
      </c>
      <c r="AB153" s="2">
        <f t="shared" si="160"/>
        <v>10</v>
      </c>
      <c r="AC153" s="2">
        <f t="shared" si="160"/>
        <v>19</v>
      </c>
      <c r="AD153" s="10">
        <f t="shared" si="2"/>
        <v>165.5</v>
      </c>
      <c r="AE153" s="2">
        <v>184</v>
      </c>
      <c r="AF153" s="10">
        <f t="shared" si="3"/>
        <v>148</v>
      </c>
      <c r="AG153" s="2">
        <v>60</v>
      </c>
      <c r="AH153" s="2">
        <v>210</v>
      </c>
      <c r="AI153" s="41">
        <f t="shared" si="92"/>
        <v>360.25</v>
      </c>
      <c r="AJ153" s="10">
        <f t="shared" si="78"/>
        <v>60</v>
      </c>
      <c r="AK153" s="10">
        <f t="shared" si="6"/>
        <v>22800</v>
      </c>
    </row>
    <row r="154" spans="1:37">
      <c r="A154" s="3">
        <v>60073</v>
      </c>
      <c r="B154" s="2" t="s">
        <v>260</v>
      </c>
      <c r="C154" s="3"/>
      <c r="D154" s="3" t="s">
        <v>46</v>
      </c>
      <c r="E154" s="3" t="s">
        <v>60</v>
      </c>
      <c r="F154" s="3" t="s">
        <v>61</v>
      </c>
      <c r="G154" s="3" t="s">
        <v>259</v>
      </c>
      <c r="H154" s="3"/>
      <c r="I154" s="3" t="s">
        <v>176</v>
      </c>
      <c r="J154" s="3" t="s">
        <v>49</v>
      </c>
      <c r="K154" s="4"/>
      <c r="L154" s="3"/>
      <c r="M154" s="4"/>
      <c r="N154" s="2">
        <v>6</v>
      </c>
      <c r="O154" s="5" t="s">
        <v>177</v>
      </c>
      <c r="P154" s="33">
        <v>2480</v>
      </c>
      <c r="Q154" s="26">
        <f t="shared" si="0"/>
        <v>496</v>
      </c>
      <c r="R154" s="27">
        <v>1.5</v>
      </c>
      <c r="S154" s="2"/>
      <c r="T154" s="2">
        <v>51</v>
      </c>
      <c r="U154" s="2"/>
      <c r="V154" s="10">
        <v>61284</v>
      </c>
      <c r="W154" s="10">
        <v>44564</v>
      </c>
      <c r="X154" s="10">
        <v>40</v>
      </c>
      <c r="Y154" s="10">
        <v>29</v>
      </c>
      <c r="Z154" s="2">
        <f t="shared" ref="Z154:AC154" si="161">_xlfn.RANK.EQ(V154,V$4:V$200)</f>
        <v>70</v>
      </c>
      <c r="AA154" s="2">
        <f t="shared" si="161"/>
        <v>114</v>
      </c>
      <c r="AB154" s="2">
        <f t="shared" si="161"/>
        <v>75</v>
      </c>
      <c r="AC154" s="2">
        <f t="shared" si="161"/>
        <v>107</v>
      </c>
      <c r="AD154" s="10">
        <f t="shared" si="2"/>
        <v>34.5</v>
      </c>
      <c r="AE154" s="2">
        <v>151</v>
      </c>
      <c r="AF154" s="10">
        <f t="shared" si="3"/>
        <v>29</v>
      </c>
      <c r="AG154" s="2"/>
      <c r="AH154" s="2"/>
      <c r="AI154" s="41">
        <f t="shared" si="92"/>
        <v>102.75</v>
      </c>
      <c r="AJ154" s="10">
        <f t="shared" si="78"/>
        <v>0</v>
      </c>
      <c r="AK154" s="10">
        <f t="shared" si="6"/>
        <v>0</v>
      </c>
    </row>
    <row r="155" spans="1:37">
      <c r="A155" s="3">
        <v>60001</v>
      </c>
      <c r="B155" s="2" t="s">
        <v>261</v>
      </c>
      <c r="C155" s="3" t="s">
        <v>46</v>
      </c>
      <c r="D155" s="3" t="s">
        <v>46</v>
      </c>
      <c r="E155" s="3" t="s">
        <v>46</v>
      </c>
      <c r="F155" s="3"/>
      <c r="G155" s="3" t="s">
        <v>259</v>
      </c>
      <c r="H155" s="3"/>
      <c r="I155" s="3" t="s">
        <v>176</v>
      </c>
      <c r="J155" s="3" t="s">
        <v>49</v>
      </c>
      <c r="K155" s="4"/>
      <c r="L155" s="3"/>
      <c r="M155" s="4"/>
      <c r="N155" s="2">
        <v>6</v>
      </c>
      <c r="O155" s="5" t="s">
        <v>177</v>
      </c>
      <c r="P155" s="33">
        <v>2251</v>
      </c>
      <c r="Q155" s="26">
        <f t="shared" si="0"/>
        <v>450.20000000000005</v>
      </c>
      <c r="R155" s="27">
        <v>1.5</v>
      </c>
      <c r="S155" s="2"/>
      <c r="T155" s="2">
        <v>122</v>
      </c>
      <c r="U155" s="2"/>
      <c r="V155" s="10">
        <v>115720</v>
      </c>
      <c r="W155" s="10">
        <v>142680</v>
      </c>
      <c r="X155" s="10">
        <v>78</v>
      </c>
      <c r="Y155" s="10">
        <v>96</v>
      </c>
      <c r="Z155" s="2">
        <f t="shared" ref="Z155:AC155" si="162">_xlfn.RANK.EQ(V155,V$4:V$200)</f>
        <v>29</v>
      </c>
      <c r="AA155" s="2">
        <f t="shared" si="162"/>
        <v>25</v>
      </c>
      <c r="AB155" s="2">
        <f t="shared" si="162"/>
        <v>35</v>
      </c>
      <c r="AC155" s="2">
        <f t="shared" si="162"/>
        <v>34</v>
      </c>
      <c r="AD155" s="10">
        <f t="shared" si="2"/>
        <v>87</v>
      </c>
      <c r="AE155" s="2">
        <v>272</v>
      </c>
      <c r="AF155" s="10">
        <f t="shared" si="3"/>
        <v>96</v>
      </c>
      <c r="AG155" s="2">
        <v>120</v>
      </c>
      <c r="AH155" s="2">
        <v>120</v>
      </c>
      <c r="AI155" s="41">
        <f t="shared" si="92"/>
        <v>266</v>
      </c>
      <c r="AJ155" s="10">
        <f t="shared" si="78"/>
        <v>0</v>
      </c>
      <c r="AK155" s="10">
        <f t="shared" si="6"/>
        <v>0</v>
      </c>
    </row>
    <row r="156" spans="1:37">
      <c r="A156" s="3">
        <v>60009</v>
      </c>
      <c r="B156" s="2" t="s">
        <v>262</v>
      </c>
      <c r="C156" s="3" t="s">
        <v>46</v>
      </c>
      <c r="D156" s="3" t="s">
        <v>46</v>
      </c>
      <c r="E156" s="3" t="s">
        <v>46</v>
      </c>
      <c r="F156" s="3"/>
      <c r="G156" s="3" t="s">
        <v>259</v>
      </c>
      <c r="H156" s="3"/>
      <c r="I156" s="3" t="s">
        <v>176</v>
      </c>
      <c r="J156" s="3" t="s">
        <v>49</v>
      </c>
      <c r="K156" s="4"/>
      <c r="L156" s="3"/>
      <c r="M156" s="4"/>
      <c r="N156" s="2">
        <v>6</v>
      </c>
      <c r="O156" s="5" t="s">
        <v>177</v>
      </c>
      <c r="P156" s="33">
        <v>4000</v>
      </c>
      <c r="Q156" s="26">
        <f t="shared" si="0"/>
        <v>800</v>
      </c>
      <c r="R156" s="27">
        <v>1.5</v>
      </c>
      <c r="S156" s="2"/>
      <c r="T156" s="2">
        <v>122</v>
      </c>
      <c r="U156" s="2"/>
      <c r="V156" s="10">
        <v>82470</v>
      </c>
      <c r="W156" s="10">
        <v>105941</v>
      </c>
      <c r="X156" s="10">
        <v>46</v>
      </c>
      <c r="Y156" s="10">
        <v>59</v>
      </c>
      <c r="Z156" s="2">
        <f t="shared" ref="Z156:AC156" si="163">_xlfn.RANK.EQ(V156,V$4:V$200)</f>
        <v>53</v>
      </c>
      <c r="AA156" s="2">
        <f t="shared" si="163"/>
        <v>46</v>
      </c>
      <c r="AB156" s="2">
        <f t="shared" si="163"/>
        <v>65</v>
      </c>
      <c r="AC156" s="2">
        <f t="shared" si="163"/>
        <v>58</v>
      </c>
      <c r="AD156" s="10">
        <f t="shared" si="2"/>
        <v>52.5</v>
      </c>
      <c r="AE156" s="2">
        <v>259</v>
      </c>
      <c r="AF156" s="10">
        <f t="shared" si="3"/>
        <v>59</v>
      </c>
      <c r="AG156" s="2"/>
      <c r="AH156" s="2"/>
      <c r="AI156" s="41">
        <f t="shared" si="92"/>
        <v>210.5</v>
      </c>
      <c r="AJ156" s="10">
        <f t="shared" si="78"/>
        <v>12</v>
      </c>
      <c r="AK156" s="10">
        <f t="shared" si="6"/>
        <v>9600</v>
      </c>
    </row>
    <row r="157" spans="1:37">
      <c r="A157" s="3">
        <v>60067</v>
      </c>
      <c r="B157" s="2" t="s">
        <v>263</v>
      </c>
      <c r="C157" s="3" t="s">
        <v>46</v>
      </c>
      <c r="D157" s="3" t="s">
        <v>46</v>
      </c>
      <c r="E157" s="3" t="s">
        <v>46</v>
      </c>
      <c r="F157" s="3"/>
      <c r="G157" s="3" t="s">
        <v>264</v>
      </c>
      <c r="H157" s="3"/>
      <c r="I157" s="3" t="s">
        <v>54</v>
      </c>
      <c r="J157" s="3" t="s">
        <v>115</v>
      </c>
      <c r="K157" s="4"/>
      <c r="L157" s="3"/>
      <c r="M157" s="4"/>
      <c r="N157" s="2">
        <v>5</v>
      </c>
      <c r="O157" s="5" t="s">
        <v>50</v>
      </c>
      <c r="P157" s="25">
        <v>609</v>
      </c>
      <c r="Q157" s="26">
        <f t="shared" si="0"/>
        <v>609</v>
      </c>
      <c r="R157" s="27">
        <v>1.5</v>
      </c>
      <c r="S157" s="2"/>
      <c r="T157" s="2">
        <v>51</v>
      </c>
      <c r="U157" s="2"/>
      <c r="V157" s="10">
        <v>8976</v>
      </c>
      <c r="W157" s="10">
        <v>14014</v>
      </c>
      <c r="X157" s="10">
        <v>9</v>
      </c>
      <c r="Y157" s="10">
        <v>14</v>
      </c>
      <c r="Z157" s="2">
        <f t="shared" ref="Z157:AC157" si="164">_xlfn.RANK.EQ(V157,V$4:V$200)</f>
        <v>160</v>
      </c>
      <c r="AA157" s="2">
        <f t="shared" si="164"/>
        <v>175</v>
      </c>
      <c r="AB157" s="2">
        <f t="shared" si="164"/>
        <v>150</v>
      </c>
      <c r="AC157" s="2">
        <f t="shared" si="164"/>
        <v>156</v>
      </c>
      <c r="AD157" s="10">
        <f t="shared" si="2"/>
        <v>11.5</v>
      </c>
      <c r="AE157" s="2">
        <v>241</v>
      </c>
      <c r="AF157" s="10">
        <f t="shared" si="3"/>
        <v>14</v>
      </c>
      <c r="AG157" s="2"/>
      <c r="AH157" s="2">
        <v>0</v>
      </c>
      <c r="AI157" s="41">
        <f t="shared" si="92"/>
        <v>72</v>
      </c>
      <c r="AJ157" s="10">
        <f t="shared" si="78"/>
        <v>0</v>
      </c>
      <c r="AK157" s="10">
        <f t="shared" si="6"/>
        <v>0</v>
      </c>
    </row>
    <row r="158" spans="1:37">
      <c r="A158" s="35" t="s">
        <v>265</v>
      </c>
      <c r="B158" s="2" t="s">
        <v>266</v>
      </c>
      <c r="C158" s="3" t="s">
        <v>46</v>
      </c>
      <c r="D158" s="3" t="s">
        <v>46</v>
      </c>
      <c r="E158" s="3" t="s">
        <v>46</v>
      </c>
      <c r="F158" s="3"/>
      <c r="G158" s="3" t="s">
        <v>47</v>
      </c>
      <c r="H158" s="3"/>
      <c r="I158" s="3" t="s">
        <v>48</v>
      </c>
      <c r="J158" s="3" t="s">
        <v>49</v>
      </c>
      <c r="K158" s="4">
        <v>1000</v>
      </c>
      <c r="L158" s="3"/>
      <c r="M158" s="4"/>
      <c r="N158" s="2">
        <v>5</v>
      </c>
      <c r="O158" s="5" t="s">
        <v>50</v>
      </c>
      <c r="P158" s="25">
        <v>88.8</v>
      </c>
      <c r="Q158" s="26">
        <f t="shared" si="0"/>
        <v>88.8</v>
      </c>
      <c r="R158" s="27">
        <v>1.5</v>
      </c>
      <c r="S158" s="2"/>
      <c r="T158" s="2">
        <v>102</v>
      </c>
      <c r="U158" s="2"/>
      <c r="V158" s="10">
        <v>34030</v>
      </c>
      <c r="W158" s="10">
        <v>22889</v>
      </c>
      <c r="X158" s="10">
        <v>158</v>
      </c>
      <c r="Y158" s="10">
        <v>106</v>
      </c>
      <c r="Z158" s="2">
        <f t="shared" ref="Z158:AC158" si="165">_xlfn.RANK.EQ(V158,V$4:V$200)</f>
        <v>112</v>
      </c>
      <c r="AA158" s="2">
        <f t="shared" si="165"/>
        <v>157</v>
      </c>
      <c r="AB158" s="2">
        <f t="shared" si="165"/>
        <v>13</v>
      </c>
      <c r="AC158" s="2">
        <f t="shared" si="165"/>
        <v>31</v>
      </c>
      <c r="AD158" s="10">
        <f t="shared" si="2"/>
        <v>132</v>
      </c>
      <c r="AE158" s="2">
        <v>157</v>
      </c>
      <c r="AF158" s="10">
        <f t="shared" si="3"/>
        <v>106</v>
      </c>
      <c r="AG158" s="2"/>
      <c r="AH158" s="2">
        <v>1000</v>
      </c>
      <c r="AI158" s="41">
        <f t="shared" si="92"/>
        <v>300</v>
      </c>
      <c r="AJ158" s="10">
        <f t="shared" si="78"/>
        <v>0</v>
      </c>
      <c r="AK158" s="10">
        <f t="shared" si="6"/>
        <v>0</v>
      </c>
    </row>
    <row r="159" spans="1:37">
      <c r="A159" s="35" t="s">
        <v>267</v>
      </c>
      <c r="B159" s="2" t="s">
        <v>268</v>
      </c>
      <c r="C159" s="3" t="s">
        <v>46</v>
      </c>
      <c r="D159" s="3" t="s">
        <v>46</v>
      </c>
      <c r="E159" s="3" t="s">
        <v>46</v>
      </c>
      <c r="F159" s="3"/>
      <c r="G159" s="3" t="s">
        <v>269</v>
      </c>
      <c r="H159" s="3"/>
      <c r="I159" s="3" t="s">
        <v>48</v>
      </c>
      <c r="J159" s="3" t="s">
        <v>49</v>
      </c>
      <c r="K159" s="4">
        <v>1400</v>
      </c>
      <c r="L159" s="3"/>
      <c r="M159" s="4"/>
      <c r="N159" s="2">
        <v>5</v>
      </c>
      <c r="O159" s="5" t="s">
        <v>50</v>
      </c>
      <c r="P159" s="25">
        <v>500</v>
      </c>
      <c r="Q159" s="26">
        <f t="shared" si="0"/>
        <v>500</v>
      </c>
      <c r="R159" s="27">
        <v>1.5</v>
      </c>
      <c r="S159" s="2"/>
      <c r="T159" s="2">
        <v>153</v>
      </c>
      <c r="U159" s="2"/>
      <c r="V159" s="10">
        <v>68368</v>
      </c>
      <c r="W159" s="10">
        <v>60753</v>
      </c>
      <c r="X159" s="10">
        <v>70</v>
      </c>
      <c r="Y159" s="10">
        <v>62</v>
      </c>
      <c r="Z159" s="2">
        <f t="shared" ref="Z159:AC159" si="166">_xlfn.RANK.EQ(V159,V$4:V$200)</f>
        <v>60</v>
      </c>
      <c r="AA159" s="2">
        <f t="shared" si="166"/>
        <v>91</v>
      </c>
      <c r="AB159" s="2">
        <f t="shared" si="166"/>
        <v>44</v>
      </c>
      <c r="AC159" s="2">
        <f t="shared" si="166"/>
        <v>53</v>
      </c>
      <c r="AD159" s="10">
        <f t="shared" si="2"/>
        <v>66</v>
      </c>
      <c r="AE159" s="2">
        <v>809</v>
      </c>
      <c r="AF159" s="10">
        <f t="shared" si="3"/>
        <v>62</v>
      </c>
      <c r="AG159" s="2"/>
      <c r="AH159" s="2"/>
      <c r="AI159" s="41">
        <f t="shared" si="92"/>
        <v>252</v>
      </c>
      <c r="AJ159" s="10">
        <f t="shared" si="78"/>
        <v>0</v>
      </c>
      <c r="AK159" s="10">
        <f t="shared" si="6"/>
        <v>0</v>
      </c>
    </row>
    <row r="160" spans="1:37">
      <c r="A160" s="35" t="s">
        <v>270</v>
      </c>
      <c r="B160" s="2" t="s">
        <v>271</v>
      </c>
      <c r="C160" s="3" t="s">
        <v>46</v>
      </c>
      <c r="D160" s="3" t="s">
        <v>46</v>
      </c>
      <c r="E160" s="3" t="s">
        <v>60</v>
      </c>
      <c r="F160" s="3" t="s">
        <v>61</v>
      </c>
      <c r="G160" s="3" t="s">
        <v>47</v>
      </c>
      <c r="H160" s="3"/>
      <c r="I160" s="3" t="s">
        <v>48</v>
      </c>
      <c r="J160" s="3" t="s">
        <v>49</v>
      </c>
      <c r="K160" s="4">
        <v>550</v>
      </c>
      <c r="L160" s="3"/>
      <c r="M160" s="4"/>
      <c r="N160" s="2">
        <v>5</v>
      </c>
      <c r="O160" s="5" t="s">
        <v>50</v>
      </c>
      <c r="P160" s="25">
        <v>74.25</v>
      </c>
      <c r="Q160" s="26">
        <f t="shared" si="0"/>
        <v>74.25</v>
      </c>
      <c r="R160" s="27">
        <v>1.5</v>
      </c>
      <c r="S160" s="2"/>
      <c r="T160" s="2">
        <v>51</v>
      </c>
      <c r="U160" s="2"/>
      <c r="V160" s="10">
        <v>7102</v>
      </c>
      <c r="W160" s="10">
        <v>4055</v>
      </c>
      <c r="X160" s="10">
        <v>33</v>
      </c>
      <c r="Y160" s="10">
        <v>19</v>
      </c>
      <c r="Z160" s="2">
        <f t="shared" ref="Z160:AC160" si="167">_xlfn.RANK.EQ(V160,V$4:V$200)</f>
        <v>164</v>
      </c>
      <c r="AA160" s="2">
        <f t="shared" si="167"/>
        <v>188</v>
      </c>
      <c r="AB160" s="2">
        <f t="shared" si="167"/>
        <v>92</v>
      </c>
      <c r="AC160" s="2">
        <f t="shared" si="167"/>
        <v>135</v>
      </c>
      <c r="AD160" s="10">
        <f t="shared" si="2"/>
        <v>26</v>
      </c>
      <c r="AE160" s="2">
        <v>90</v>
      </c>
      <c r="AF160" s="10">
        <f t="shared" si="3"/>
        <v>19</v>
      </c>
      <c r="AG160" s="2"/>
      <c r="AH160" s="2"/>
      <c r="AI160" s="41">
        <f t="shared" si="92"/>
        <v>90</v>
      </c>
      <c r="AJ160" s="10">
        <f t="shared" si="78"/>
        <v>0</v>
      </c>
      <c r="AK160" s="10">
        <f t="shared" si="6"/>
        <v>0</v>
      </c>
    </row>
    <row r="161" spans="1:37">
      <c r="A161" s="35" t="s">
        <v>272</v>
      </c>
      <c r="B161" s="2" t="s">
        <v>273</v>
      </c>
      <c r="C161" s="3" t="s">
        <v>46</v>
      </c>
      <c r="D161" s="3" t="s">
        <v>46</v>
      </c>
      <c r="E161" s="3" t="s">
        <v>46</v>
      </c>
      <c r="F161" s="3"/>
      <c r="G161" s="3" t="s">
        <v>274</v>
      </c>
      <c r="H161" s="3"/>
      <c r="I161" s="3" t="s">
        <v>48</v>
      </c>
      <c r="J161" s="3" t="s">
        <v>49</v>
      </c>
      <c r="K161" s="4">
        <v>2400</v>
      </c>
      <c r="L161" s="3"/>
      <c r="M161" s="4"/>
      <c r="N161" s="2">
        <v>5</v>
      </c>
      <c r="O161" s="5" t="s">
        <v>50</v>
      </c>
      <c r="P161" s="25">
        <v>129</v>
      </c>
      <c r="Q161" s="26">
        <f t="shared" si="0"/>
        <v>129</v>
      </c>
      <c r="R161" s="27">
        <v>1.5</v>
      </c>
      <c r="S161" s="2"/>
      <c r="T161" s="2">
        <v>306</v>
      </c>
      <c r="U161" s="2"/>
      <c r="V161" s="10">
        <v>84286</v>
      </c>
      <c r="W161" s="10">
        <v>61499</v>
      </c>
      <c r="X161" s="10">
        <v>224</v>
      </c>
      <c r="Y161" s="10">
        <v>164</v>
      </c>
      <c r="Z161" s="2">
        <f t="shared" ref="Z161:AC161" si="168">_xlfn.RANK.EQ(V161,V$4:V$200)</f>
        <v>52</v>
      </c>
      <c r="AA161" s="2">
        <f t="shared" si="168"/>
        <v>89</v>
      </c>
      <c r="AB161" s="2">
        <f t="shared" si="168"/>
        <v>7</v>
      </c>
      <c r="AC161" s="2">
        <f t="shared" si="168"/>
        <v>16</v>
      </c>
      <c r="AD161" s="10">
        <f t="shared" si="2"/>
        <v>194</v>
      </c>
      <c r="AE161" s="10">
        <v>1061</v>
      </c>
      <c r="AF161" s="10">
        <f t="shared" si="3"/>
        <v>164</v>
      </c>
      <c r="AG161" s="2"/>
      <c r="AH161" s="2"/>
      <c r="AI161" s="41">
        <f t="shared" si="92"/>
        <v>597</v>
      </c>
      <c r="AJ161" s="10">
        <f t="shared" si="78"/>
        <v>0</v>
      </c>
      <c r="AK161" s="10">
        <f t="shared" si="6"/>
        <v>0</v>
      </c>
    </row>
    <row r="162" spans="1:37">
      <c r="A162" s="35" t="s">
        <v>275</v>
      </c>
      <c r="B162" s="2" t="s">
        <v>276</v>
      </c>
      <c r="C162" s="3" t="s">
        <v>46</v>
      </c>
      <c r="D162" s="3" t="s">
        <v>46</v>
      </c>
      <c r="E162" s="3" t="s">
        <v>46</v>
      </c>
      <c r="F162" s="3"/>
      <c r="G162" s="3" t="s">
        <v>277</v>
      </c>
      <c r="H162" s="3"/>
      <c r="I162" s="3" t="s">
        <v>63</v>
      </c>
      <c r="J162" s="3" t="s">
        <v>49</v>
      </c>
      <c r="K162" s="4">
        <v>1000</v>
      </c>
      <c r="L162" s="3"/>
      <c r="M162" s="4"/>
      <c r="N162" s="2">
        <v>5</v>
      </c>
      <c r="O162" s="5" t="s">
        <v>50</v>
      </c>
      <c r="P162" s="25">
        <v>540</v>
      </c>
      <c r="Q162" s="26">
        <f t="shared" si="0"/>
        <v>540</v>
      </c>
      <c r="R162" s="27">
        <v>1.5</v>
      </c>
      <c r="S162" s="2"/>
      <c r="T162" s="2">
        <v>51</v>
      </c>
      <c r="U162" s="2"/>
      <c r="V162" s="10">
        <v>89872</v>
      </c>
      <c r="W162" s="10">
        <v>94492</v>
      </c>
      <c r="X162" s="10">
        <v>77</v>
      </c>
      <c r="Y162" s="10">
        <v>82</v>
      </c>
      <c r="Z162" s="2">
        <f t="shared" ref="Z162:AC162" si="169">_xlfn.RANK.EQ(V162,V$4:V$200)</f>
        <v>49</v>
      </c>
      <c r="AA162" s="2">
        <f t="shared" si="169"/>
        <v>53</v>
      </c>
      <c r="AB162" s="2">
        <f t="shared" si="169"/>
        <v>36</v>
      </c>
      <c r="AC162" s="2">
        <f t="shared" si="169"/>
        <v>44</v>
      </c>
      <c r="AD162" s="10">
        <f t="shared" si="2"/>
        <v>79.5</v>
      </c>
      <c r="AE162" s="2">
        <v>762</v>
      </c>
      <c r="AF162" s="10">
        <f t="shared" si="3"/>
        <v>82</v>
      </c>
      <c r="AG162" s="2"/>
      <c r="AH162" s="2">
        <v>1000</v>
      </c>
      <c r="AI162" s="41">
        <f t="shared" si="92"/>
        <v>174</v>
      </c>
      <c r="AJ162" s="10">
        <f t="shared" si="78"/>
        <v>0</v>
      </c>
      <c r="AK162" s="10">
        <f t="shared" si="6"/>
        <v>0</v>
      </c>
    </row>
    <row r="163" spans="1:37">
      <c r="A163" s="35" t="s">
        <v>278</v>
      </c>
      <c r="B163" s="2" t="s">
        <v>279</v>
      </c>
      <c r="C163" s="3" t="s">
        <v>46</v>
      </c>
      <c r="D163" s="3" t="s">
        <v>46</v>
      </c>
      <c r="E163" s="3" t="s">
        <v>46</v>
      </c>
      <c r="F163" s="3"/>
      <c r="G163" s="3" t="s">
        <v>280</v>
      </c>
      <c r="H163" s="3"/>
      <c r="I163" s="3" t="s">
        <v>48</v>
      </c>
      <c r="J163" s="3" t="s">
        <v>49</v>
      </c>
      <c r="K163" s="4">
        <v>2000</v>
      </c>
      <c r="L163" s="3"/>
      <c r="M163" s="4"/>
      <c r="N163" s="2">
        <v>5</v>
      </c>
      <c r="O163" s="5" t="s">
        <v>50</v>
      </c>
      <c r="P163" s="25">
        <v>227.7</v>
      </c>
      <c r="Q163" s="26">
        <f t="shared" si="0"/>
        <v>227.7</v>
      </c>
      <c r="R163" s="27">
        <v>1.5</v>
      </c>
      <c r="S163" s="2"/>
      <c r="T163" s="2">
        <v>102</v>
      </c>
      <c r="U163" s="2"/>
      <c r="V163" s="10">
        <v>120910</v>
      </c>
      <c r="W163" s="10">
        <v>103488</v>
      </c>
      <c r="X163" s="10">
        <v>225</v>
      </c>
      <c r="Y163" s="10">
        <v>193</v>
      </c>
      <c r="Z163" s="2">
        <f t="shared" ref="Z163:AC163" si="170">_xlfn.RANK.EQ(V163,V$4:V$200)</f>
        <v>26</v>
      </c>
      <c r="AA163" s="2">
        <f t="shared" si="170"/>
        <v>49</v>
      </c>
      <c r="AB163" s="2">
        <f t="shared" si="170"/>
        <v>6</v>
      </c>
      <c r="AC163" s="2">
        <f t="shared" si="170"/>
        <v>10</v>
      </c>
      <c r="AD163" s="10">
        <f t="shared" si="2"/>
        <v>209</v>
      </c>
      <c r="AE163" s="2">
        <v>269</v>
      </c>
      <c r="AF163" s="10">
        <f t="shared" si="3"/>
        <v>193</v>
      </c>
      <c r="AG163" s="2"/>
      <c r="AH163" s="2">
        <v>2000</v>
      </c>
      <c r="AI163" s="41">
        <f t="shared" si="92"/>
        <v>415.5</v>
      </c>
      <c r="AJ163" s="10">
        <f t="shared" si="78"/>
        <v>0</v>
      </c>
      <c r="AK163" s="10">
        <f t="shared" si="6"/>
        <v>0</v>
      </c>
    </row>
    <row r="164" spans="1:37">
      <c r="A164" s="3">
        <v>90059</v>
      </c>
      <c r="B164" s="2" t="s">
        <v>281</v>
      </c>
      <c r="C164" s="3" t="s">
        <v>46</v>
      </c>
      <c r="D164" s="3" t="s">
        <v>46</v>
      </c>
      <c r="E164" s="3" t="s">
        <v>46</v>
      </c>
      <c r="F164" s="3"/>
      <c r="G164" s="3" t="s">
        <v>75</v>
      </c>
      <c r="H164" s="3" t="s">
        <v>83</v>
      </c>
      <c r="I164" s="3" t="s">
        <v>48</v>
      </c>
      <c r="J164" s="3" t="s">
        <v>49</v>
      </c>
      <c r="K164" s="4"/>
      <c r="L164" s="3" t="s">
        <v>55</v>
      </c>
      <c r="M164" s="4">
        <v>6000</v>
      </c>
      <c r="N164" s="2">
        <v>5</v>
      </c>
      <c r="O164" s="5" t="s">
        <v>55</v>
      </c>
      <c r="P164" s="25">
        <v>0</v>
      </c>
      <c r="Q164" s="26">
        <f t="shared" si="0"/>
        <v>0</v>
      </c>
      <c r="R164" s="27">
        <v>1.5</v>
      </c>
      <c r="S164" s="2"/>
      <c r="T164" s="2">
        <v>306</v>
      </c>
      <c r="U164" s="2"/>
      <c r="V164" s="10">
        <v>0</v>
      </c>
      <c r="W164" s="10">
        <v>0</v>
      </c>
      <c r="X164" s="10">
        <v>197</v>
      </c>
      <c r="Y164" s="10">
        <v>177</v>
      </c>
      <c r="Z164" s="2">
        <f t="shared" ref="Z164:AC164" si="171">_xlfn.RANK.EQ(V164,V$4:V$200)</f>
        <v>168</v>
      </c>
      <c r="AA164" s="2">
        <f t="shared" si="171"/>
        <v>190</v>
      </c>
      <c r="AB164" s="2">
        <f t="shared" si="171"/>
        <v>8</v>
      </c>
      <c r="AC164" s="2">
        <f t="shared" si="171"/>
        <v>13</v>
      </c>
      <c r="AD164" s="10">
        <f t="shared" si="2"/>
        <v>187</v>
      </c>
      <c r="AE164" s="2">
        <v>754</v>
      </c>
      <c r="AF164" s="10">
        <f t="shared" si="3"/>
        <v>177</v>
      </c>
      <c r="AG164" s="2"/>
      <c r="AH164" s="2">
        <v>510</v>
      </c>
      <c r="AI164" s="41">
        <f t="shared" si="92"/>
        <v>586.5</v>
      </c>
      <c r="AJ164" s="10">
        <f t="shared" si="78"/>
        <v>0</v>
      </c>
      <c r="AK164" s="10">
        <f t="shared" si="6"/>
        <v>0</v>
      </c>
    </row>
    <row r="165" spans="1:37">
      <c r="A165" s="3">
        <v>90061</v>
      </c>
      <c r="B165" s="2" t="s">
        <v>282</v>
      </c>
      <c r="C165" s="3"/>
      <c r="D165" s="3" t="s">
        <v>46</v>
      </c>
      <c r="E165" s="3" t="s">
        <v>46</v>
      </c>
      <c r="F165" s="3"/>
      <c r="G165" s="3" t="s">
        <v>75</v>
      </c>
      <c r="H165" s="3"/>
      <c r="I165" s="3" t="s">
        <v>48</v>
      </c>
      <c r="J165" s="3" t="s">
        <v>49</v>
      </c>
      <c r="K165" s="4"/>
      <c r="L165" s="3"/>
      <c r="M165" s="4"/>
      <c r="N165" s="2">
        <v>5</v>
      </c>
      <c r="O165" s="5" t="s">
        <v>55</v>
      </c>
      <c r="P165" s="25">
        <v>0</v>
      </c>
      <c r="Q165" s="26">
        <f t="shared" si="0"/>
        <v>0</v>
      </c>
      <c r="R165" s="27">
        <v>1.5</v>
      </c>
      <c r="S165" s="2"/>
      <c r="T165" s="2">
        <v>51</v>
      </c>
      <c r="U165" s="2"/>
      <c r="V165" s="10">
        <v>0</v>
      </c>
      <c r="W165" s="10">
        <v>0</v>
      </c>
      <c r="X165" s="10">
        <v>9</v>
      </c>
      <c r="Y165" s="10">
        <v>19</v>
      </c>
      <c r="Z165" s="2">
        <f t="shared" ref="Z165:AC165" si="172">_xlfn.RANK.EQ(V165,V$4:V$200)</f>
        <v>168</v>
      </c>
      <c r="AA165" s="2">
        <f t="shared" si="172"/>
        <v>190</v>
      </c>
      <c r="AB165" s="2">
        <f t="shared" si="172"/>
        <v>150</v>
      </c>
      <c r="AC165" s="2">
        <f t="shared" si="172"/>
        <v>135</v>
      </c>
      <c r="AD165" s="10">
        <f t="shared" si="2"/>
        <v>14</v>
      </c>
      <c r="AE165" s="2">
        <v>141</v>
      </c>
      <c r="AF165" s="10">
        <f t="shared" si="3"/>
        <v>19</v>
      </c>
      <c r="AG165" s="2"/>
      <c r="AH165" s="2"/>
      <c r="AI165" s="41">
        <f t="shared" si="92"/>
        <v>79.5</v>
      </c>
      <c r="AJ165" s="10">
        <f t="shared" si="78"/>
        <v>0</v>
      </c>
      <c r="AK165" s="10">
        <f t="shared" si="6"/>
        <v>0</v>
      </c>
    </row>
    <row r="166" spans="1:37">
      <c r="A166" s="3">
        <v>90063</v>
      </c>
      <c r="B166" s="2" t="s">
        <v>283</v>
      </c>
      <c r="C166" s="3" t="s">
        <v>46</v>
      </c>
      <c r="D166" s="3" t="s">
        <v>46</v>
      </c>
      <c r="E166" s="3" t="s">
        <v>46</v>
      </c>
      <c r="F166" s="3"/>
      <c r="G166" s="3" t="s">
        <v>113</v>
      </c>
      <c r="H166" s="3"/>
      <c r="I166" s="3" t="s">
        <v>114</v>
      </c>
      <c r="J166" s="3" t="s">
        <v>115</v>
      </c>
      <c r="K166" s="4"/>
      <c r="L166" s="3"/>
      <c r="M166" s="4"/>
      <c r="N166" s="2">
        <v>5</v>
      </c>
      <c r="O166" s="5" t="s">
        <v>50</v>
      </c>
      <c r="P166" s="25">
        <v>0</v>
      </c>
      <c r="Q166" s="26">
        <f t="shared" si="0"/>
        <v>0</v>
      </c>
      <c r="R166" s="27">
        <v>1.5</v>
      </c>
      <c r="S166" s="2"/>
      <c r="T166" s="2">
        <v>51</v>
      </c>
      <c r="U166" s="2"/>
      <c r="V166" s="10">
        <v>0</v>
      </c>
      <c r="W166" s="10">
        <v>0</v>
      </c>
      <c r="X166" s="10">
        <v>12</v>
      </c>
      <c r="Y166" s="10">
        <v>22</v>
      </c>
      <c r="Z166" s="2">
        <f t="shared" ref="Z166:AC166" si="173">_xlfn.RANK.EQ(V166,V$4:V$200)</f>
        <v>168</v>
      </c>
      <c r="AA166" s="2">
        <f t="shared" si="173"/>
        <v>190</v>
      </c>
      <c r="AB166" s="2">
        <f t="shared" si="173"/>
        <v>140</v>
      </c>
      <c r="AC166" s="2">
        <f t="shared" si="173"/>
        <v>124</v>
      </c>
      <c r="AD166" s="10">
        <f t="shared" si="2"/>
        <v>17</v>
      </c>
      <c r="AE166" s="2">
        <v>78</v>
      </c>
      <c r="AF166" s="10">
        <f t="shared" si="3"/>
        <v>22</v>
      </c>
      <c r="AG166" s="2"/>
      <c r="AH166" s="2">
        <v>0</v>
      </c>
      <c r="AI166" s="41">
        <f t="shared" si="92"/>
        <v>84</v>
      </c>
      <c r="AJ166" s="10">
        <f t="shared" si="78"/>
        <v>30</v>
      </c>
      <c r="AK166" s="10">
        <f t="shared" si="6"/>
        <v>0</v>
      </c>
    </row>
    <row r="167" spans="1:37">
      <c r="A167" s="3">
        <v>90068</v>
      </c>
      <c r="B167" s="2" t="s">
        <v>284</v>
      </c>
      <c r="C167" s="3" t="s">
        <v>46</v>
      </c>
      <c r="D167" s="3" t="s">
        <v>46</v>
      </c>
      <c r="E167" s="3" t="s">
        <v>46</v>
      </c>
      <c r="F167" s="3"/>
      <c r="G167" s="3" t="s">
        <v>191</v>
      </c>
      <c r="H167" s="3"/>
      <c r="I167" s="3" t="s">
        <v>54</v>
      </c>
      <c r="J167" s="3" t="s">
        <v>49</v>
      </c>
      <c r="K167" s="4"/>
      <c r="L167" s="3"/>
      <c r="M167" s="4"/>
      <c r="N167" s="2">
        <v>5</v>
      </c>
      <c r="O167" s="5" t="s">
        <v>55</v>
      </c>
      <c r="P167" s="25">
        <v>0</v>
      </c>
      <c r="Q167" s="26">
        <f t="shared" si="0"/>
        <v>0</v>
      </c>
      <c r="R167" s="27">
        <v>1.5</v>
      </c>
      <c r="S167" s="2"/>
      <c r="T167" s="2">
        <v>51</v>
      </c>
      <c r="U167" s="2"/>
      <c r="V167" s="10">
        <v>0</v>
      </c>
      <c r="W167" s="10">
        <v>0</v>
      </c>
      <c r="X167" s="10">
        <v>5</v>
      </c>
      <c r="Y167" s="10">
        <v>8</v>
      </c>
      <c r="Z167" s="2">
        <f t="shared" ref="Z167:AC167" si="174">_xlfn.RANK.EQ(V167,V$4:V$200)</f>
        <v>168</v>
      </c>
      <c r="AA167" s="2">
        <f t="shared" si="174"/>
        <v>190</v>
      </c>
      <c r="AB167" s="2">
        <f t="shared" si="174"/>
        <v>165</v>
      </c>
      <c r="AC167" s="2">
        <f t="shared" si="174"/>
        <v>182</v>
      </c>
      <c r="AD167" s="10">
        <f t="shared" si="2"/>
        <v>6.5</v>
      </c>
      <c r="AE167" s="2">
        <v>259</v>
      </c>
      <c r="AF167" s="10">
        <f t="shared" si="3"/>
        <v>8</v>
      </c>
      <c r="AG167" s="2">
        <v>12</v>
      </c>
      <c r="AH167" s="2"/>
      <c r="AI167" s="41">
        <f t="shared" si="92"/>
        <v>63</v>
      </c>
      <c r="AJ167" s="10">
        <f t="shared" si="78"/>
        <v>0</v>
      </c>
      <c r="AK167" s="10">
        <f t="shared" si="6"/>
        <v>0</v>
      </c>
    </row>
    <row r="168" spans="1:37">
      <c r="A168" s="3">
        <v>90032</v>
      </c>
      <c r="B168" s="2" t="s">
        <v>285</v>
      </c>
      <c r="C168" s="3" t="s">
        <v>46</v>
      </c>
      <c r="D168" s="3" t="s">
        <v>46</v>
      </c>
      <c r="E168" s="3" t="s">
        <v>46</v>
      </c>
      <c r="F168" s="3"/>
      <c r="G168" s="3" t="s">
        <v>191</v>
      </c>
      <c r="H168" s="3"/>
      <c r="I168" s="3" t="s">
        <v>54</v>
      </c>
      <c r="J168" s="3" t="s">
        <v>49</v>
      </c>
      <c r="K168" s="4"/>
      <c r="L168" s="3"/>
      <c r="M168" s="4"/>
      <c r="N168" s="2">
        <v>5</v>
      </c>
      <c r="O168" s="5" t="s">
        <v>55</v>
      </c>
      <c r="P168" s="25">
        <v>0</v>
      </c>
      <c r="Q168" s="26">
        <f t="shared" si="0"/>
        <v>0</v>
      </c>
      <c r="R168" s="27">
        <v>4</v>
      </c>
      <c r="S168" s="2"/>
      <c r="T168" s="2">
        <v>102</v>
      </c>
      <c r="U168" s="2"/>
      <c r="V168" s="10">
        <v>0</v>
      </c>
      <c r="W168" s="10">
        <v>0</v>
      </c>
      <c r="X168" s="10">
        <v>8</v>
      </c>
      <c r="Y168" s="10">
        <v>10</v>
      </c>
      <c r="Z168" s="2">
        <f t="shared" ref="Z168:AC168" si="175">_xlfn.RANK.EQ(V168,V$4:V$200)</f>
        <v>168</v>
      </c>
      <c r="AA168" s="2">
        <f t="shared" si="175"/>
        <v>190</v>
      </c>
      <c r="AB168" s="2">
        <f t="shared" si="175"/>
        <v>155</v>
      </c>
      <c r="AC168" s="2">
        <f t="shared" si="175"/>
        <v>170</v>
      </c>
      <c r="AD168" s="10">
        <f t="shared" si="2"/>
        <v>9</v>
      </c>
      <c r="AE168" s="2">
        <v>207</v>
      </c>
      <c r="AF168" s="10">
        <f t="shared" si="3"/>
        <v>10</v>
      </c>
      <c r="AG168" s="2"/>
      <c r="AH168" s="2"/>
      <c r="AI168" s="41">
        <f t="shared" si="92"/>
        <v>117</v>
      </c>
      <c r="AJ168" s="10">
        <f t="shared" si="78"/>
        <v>0</v>
      </c>
      <c r="AK168" s="10">
        <f t="shared" si="6"/>
        <v>0</v>
      </c>
    </row>
    <row r="169" spans="1:37">
      <c r="A169" s="3">
        <v>90064</v>
      </c>
      <c r="B169" s="2" t="s">
        <v>286</v>
      </c>
      <c r="C169" s="3" t="s">
        <v>46</v>
      </c>
      <c r="D169" s="3" t="s">
        <v>46</v>
      </c>
      <c r="E169" s="3" t="s">
        <v>46</v>
      </c>
      <c r="F169" s="3"/>
      <c r="G169" s="3" t="s">
        <v>250</v>
      </c>
      <c r="H169" s="3"/>
      <c r="I169" s="3" t="s">
        <v>54</v>
      </c>
      <c r="J169" s="3" t="s">
        <v>115</v>
      </c>
      <c r="K169" s="4"/>
      <c r="L169" s="3"/>
      <c r="M169" s="4"/>
      <c r="N169" s="2">
        <v>5</v>
      </c>
      <c r="O169" s="5" t="s">
        <v>50</v>
      </c>
      <c r="P169" s="25">
        <v>0</v>
      </c>
      <c r="Q169" s="26">
        <f t="shared" si="0"/>
        <v>0</v>
      </c>
      <c r="R169" s="27">
        <v>1.5</v>
      </c>
      <c r="S169" s="2"/>
      <c r="T169" s="2">
        <v>51</v>
      </c>
      <c r="U169" s="2"/>
      <c r="V169" s="10">
        <v>0</v>
      </c>
      <c r="W169" s="10">
        <v>0</v>
      </c>
      <c r="X169" s="10">
        <v>33</v>
      </c>
      <c r="Y169" s="10">
        <v>46</v>
      </c>
      <c r="Z169" s="2">
        <f t="shared" ref="Z169:AC169" si="176">_xlfn.RANK.EQ(V169,V$4:V$200)</f>
        <v>168</v>
      </c>
      <c r="AA169" s="2">
        <f t="shared" si="176"/>
        <v>190</v>
      </c>
      <c r="AB169" s="2">
        <f t="shared" si="176"/>
        <v>92</v>
      </c>
      <c r="AC169" s="2">
        <f t="shared" si="176"/>
        <v>81</v>
      </c>
      <c r="AD169" s="10">
        <f t="shared" si="2"/>
        <v>39.5</v>
      </c>
      <c r="AE169" s="2">
        <v>223</v>
      </c>
      <c r="AF169" s="10">
        <f t="shared" si="3"/>
        <v>46</v>
      </c>
      <c r="AG169" s="2"/>
      <c r="AH169" s="2">
        <v>0</v>
      </c>
      <c r="AI169" s="41">
        <f t="shared" si="92"/>
        <v>120</v>
      </c>
      <c r="AJ169" s="10">
        <f t="shared" si="78"/>
        <v>0</v>
      </c>
      <c r="AK169" s="10">
        <f t="shared" si="6"/>
        <v>0</v>
      </c>
    </row>
    <row r="170" spans="1:37">
      <c r="A170" s="3">
        <v>90072</v>
      </c>
      <c r="B170" s="2" t="s">
        <v>287</v>
      </c>
      <c r="C170" s="3"/>
      <c r="D170" s="3" t="s">
        <v>46</v>
      </c>
      <c r="E170" s="3" t="s">
        <v>46</v>
      </c>
      <c r="F170" s="3"/>
      <c r="G170" s="3" t="s">
        <v>254</v>
      </c>
      <c r="H170" s="3"/>
      <c r="I170" s="3" t="s">
        <v>176</v>
      </c>
      <c r="J170" s="3" t="s">
        <v>49</v>
      </c>
      <c r="K170" s="4"/>
      <c r="L170" s="3"/>
      <c r="M170" s="4"/>
      <c r="N170" s="2">
        <v>5</v>
      </c>
      <c r="O170" s="5" t="s">
        <v>50</v>
      </c>
      <c r="P170" s="25">
        <v>0</v>
      </c>
      <c r="Q170" s="26">
        <f t="shared" si="0"/>
        <v>0</v>
      </c>
      <c r="R170" s="27">
        <v>1.5</v>
      </c>
      <c r="S170" s="2"/>
      <c r="T170" s="2">
        <v>51</v>
      </c>
      <c r="U170" s="2"/>
      <c r="V170" s="10">
        <v>0</v>
      </c>
      <c r="W170" s="10">
        <v>0</v>
      </c>
      <c r="X170" s="10">
        <v>13</v>
      </c>
      <c r="Y170" s="10">
        <v>12</v>
      </c>
      <c r="Z170" s="2">
        <f t="shared" ref="Z170:AC170" si="177">_xlfn.RANK.EQ(V170,V$4:V$200)</f>
        <v>168</v>
      </c>
      <c r="AA170" s="2">
        <f t="shared" si="177"/>
        <v>190</v>
      </c>
      <c r="AB170" s="2">
        <f t="shared" si="177"/>
        <v>135</v>
      </c>
      <c r="AC170" s="2">
        <f t="shared" si="177"/>
        <v>161</v>
      </c>
      <c r="AD170" s="10">
        <f t="shared" si="2"/>
        <v>12.5</v>
      </c>
      <c r="AE170" s="2">
        <v>197</v>
      </c>
      <c r="AF170" s="10">
        <f t="shared" si="3"/>
        <v>12</v>
      </c>
      <c r="AG170" s="2"/>
      <c r="AH170" s="2"/>
      <c r="AI170" s="41">
        <f t="shared" si="92"/>
        <v>69.75</v>
      </c>
      <c r="AJ170" s="10">
        <f t="shared" si="78"/>
        <v>0</v>
      </c>
      <c r="AK170" s="10">
        <f t="shared" si="6"/>
        <v>0</v>
      </c>
    </row>
    <row r="171" spans="1:37">
      <c r="A171" s="3" t="s">
        <v>288</v>
      </c>
      <c r="B171" s="2" t="s">
        <v>289</v>
      </c>
      <c r="C171" s="3" t="s">
        <v>290</v>
      </c>
      <c r="D171" s="3" t="s">
        <v>290</v>
      </c>
      <c r="E171" s="3" t="s">
        <v>290</v>
      </c>
      <c r="F171" s="3"/>
      <c r="G171" s="3" t="s">
        <v>291</v>
      </c>
      <c r="H171" s="3"/>
      <c r="I171" s="3" t="s">
        <v>221</v>
      </c>
      <c r="J171" s="3" t="s">
        <v>49</v>
      </c>
      <c r="K171" s="4">
        <v>400</v>
      </c>
      <c r="L171" s="3"/>
      <c r="M171" s="4"/>
      <c r="N171" s="2">
        <v>50</v>
      </c>
      <c r="O171" s="5" t="s">
        <v>50</v>
      </c>
      <c r="P171" s="25">
        <v>248</v>
      </c>
      <c r="Q171" s="26">
        <f t="shared" si="0"/>
        <v>248</v>
      </c>
      <c r="R171" s="27">
        <v>1.5</v>
      </c>
      <c r="S171" s="2"/>
      <c r="T171" s="2">
        <v>122</v>
      </c>
      <c r="U171" s="2"/>
      <c r="V171" s="10">
        <v>117000</v>
      </c>
      <c r="W171" s="10">
        <v>131820</v>
      </c>
      <c r="X171" s="10">
        <v>150</v>
      </c>
      <c r="Y171" s="10">
        <v>169</v>
      </c>
      <c r="Z171" s="2">
        <f t="shared" ref="Z171:AC171" si="178">_xlfn.RANK.EQ(V171,V$4:V$200)</f>
        <v>28</v>
      </c>
      <c r="AA171" s="2">
        <f t="shared" si="178"/>
        <v>34</v>
      </c>
      <c r="AB171" s="2">
        <f t="shared" si="178"/>
        <v>15</v>
      </c>
      <c r="AC171" s="2">
        <f t="shared" si="178"/>
        <v>14</v>
      </c>
      <c r="AD171" s="10">
        <f t="shared" si="2"/>
        <v>159.5</v>
      </c>
      <c r="AE171" s="10">
        <v>554</v>
      </c>
      <c r="AF171" s="10">
        <f t="shared" si="3"/>
        <v>169</v>
      </c>
      <c r="AG171" s="2"/>
      <c r="AH171" s="2"/>
      <c r="AI171" s="41">
        <f t="shared" si="92"/>
        <v>375.5</v>
      </c>
      <c r="AJ171" s="10">
        <f t="shared" ref="AJ171:AJ176" si="179">IF(N171="",MAX(AI171-(AE171-AF171)-AG171-AH171,0),CEILING(MAX(AI171-(AE171-AF171)-AG171-AH171,0),N171)
)</f>
        <v>0</v>
      </c>
      <c r="AK171" s="10">
        <f t="shared" si="6"/>
        <v>0</v>
      </c>
    </row>
    <row r="172" spans="1:37">
      <c r="A172" s="3" t="s">
        <v>292</v>
      </c>
      <c r="B172" s="2" t="s">
        <v>293</v>
      </c>
      <c r="C172" s="3" t="s">
        <v>290</v>
      </c>
      <c r="D172" s="3" t="s">
        <v>290</v>
      </c>
      <c r="E172" s="3" t="s">
        <v>290</v>
      </c>
      <c r="F172" s="3"/>
      <c r="G172" s="3" t="s">
        <v>291</v>
      </c>
      <c r="H172" s="3"/>
      <c r="I172" s="3" t="s">
        <v>221</v>
      </c>
      <c r="J172" s="3" t="s">
        <v>49</v>
      </c>
      <c r="K172" s="4">
        <v>400</v>
      </c>
      <c r="L172" s="3"/>
      <c r="M172" s="4"/>
      <c r="N172" s="2">
        <v>50</v>
      </c>
      <c r="O172" s="5" t="s">
        <v>50</v>
      </c>
      <c r="P172" s="25">
        <v>236</v>
      </c>
      <c r="Q172" s="26">
        <f t="shared" si="0"/>
        <v>236</v>
      </c>
      <c r="R172" s="27">
        <v>1.5</v>
      </c>
      <c r="S172" s="2"/>
      <c r="T172" s="2">
        <v>275</v>
      </c>
      <c r="U172" s="2"/>
      <c r="V172" s="10">
        <v>251940</v>
      </c>
      <c r="W172" s="10">
        <v>180960</v>
      </c>
      <c r="X172" s="10">
        <v>323</v>
      </c>
      <c r="Y172" s="10">
        <v>232</v>
      </c>
      <c r="Z172" s="2">
        <f t="shared" ref="Z172:AC172" si="180">_xlfn.RANK.EQ(V172,V$4:V$200)</f>
        <v>5</v>
      </c>
      <c r="AA172" s="2">
        <f t="shared" si="180"/>
        <v>14</v>
      </c>
      <c r="AB172" s="2">
        <f t="shared" si="180"/>
        <v>4</v>
      </c>
      <c r="AC172" s="2">
        <f t="shared" si="180"/>
        <v>7</v>
      </c>
      <c r="AD172" s="10">
        <f t="shared" si="2"/>
        <v>277.5</v>
      </c>
      <c r="AE172" s="10">
        <v>1136</v>
      </c>
      <c r="AF172" s="10">
        <f t="shared" si="3"/>
        <v>232</v>
      </c>
      <c r="AG172" s="2"/>
      <c r="AH172" s="2"/>
      <c r="AI172" s="41">
        <f t="shared" si="92"/>
        <v>691.25</v>
      </c>
      <c r="AJ172" s="10">
        <f t="shared" si="179"/>
        <v>0</v>
      </c>
      <c r="AK172" s="10">
        <f t="shared" si="6"/>
        <v>0</v>
      </c>
    </row>
    <row r="173" spans="1:37" ht="15.75" customHeight="1">
      <c r="A173" s="3" t="s">
        <v>294</v>
      </c>
      <c r="B173" s="2" t="s">
        <v>295</v>
      </c>
      <c r="C173" s="3" t="s">
        <v>290</v>
      </c>
      <c r="D173" s="3" t="s">
        <v>290</v>
      </c>
      <c r="E173" s="3" t="s">
        <v>290</v>
      </c>
      <c r="F173" s="3"/>
      <c r="G173" s="3" t="s">
        <v>296</v>
      </c>
      <c r="H173" s="3"/>
      <c r="I173" s="3" t="s">
        <v>221</v>
      </c>
      <c r="J173" s="3" t="s">
        <v>49</v>
      </c>
      <c r="K173" s="36">
        <v>7500</v>
      </c>
      <c r="L173" s="3"/>
      <c r="M173" s="4"/>
      <c r="N173" s="2">
        <v>50</v>
      </c>
      <c r="O173" s="5" t="s">
        <v>55</v>
      </c>
      <c r="P173" s="25">
        <v>17.52</v>
      </c>
      <c r="Q173" s="26">
        <f t="shared" si="0"/>
        <v>551.88</v>
      </c>
      <c r="R173" s="37">
        <v>3</v>
      </c>
      <c r="S173" s="2"/>
      <c r="T173" s="2">
        <v>426</v>
      </c>
      <c r="U173" s="2"/>
      <c r="V173" s="10">
        <v>896800</v>
      </c>
      <c r="W173" s="10">
        <v>650400</v>
      </c>
      <c r="X173" s="10">
        <v>1120</v>
      </c>
      <c r="Y173" s="10">
        <v>813</v>
      </c>
      <c r="Z173" s="2">
        <f t="shared" ref="Z173:AC173" si="181">_xlfn.RANK.EQ(V173,V$4:V$200)</f>
        <v>1</v>
      </c>
      <c r="AA173" s="2">
        <f t="shared" si="181"/>
        <v>1</v>
      </c>
      <c r="AB173" s="2">
        <f t="shared" si="181"/>
        <v>1</v>
      </c>
      <c r="AC173" s="2">
        <f t="shared" si="181"/>
        <v>1</v>
      </c>
      <c r="AD173" s="10">
        <f t="shared" si="2"/>
        <v>966.5</v>
      </c>
      <c r="AE173" s="2">
        <v>550</v>
      </c>
      <c r="AF173" s="10">
        <f t="shared" si="3"/>
        <v>813</v>
      </c>
      <c r="AG173" s="10">
        <v>1000</v>
      </c>
      <c r="AH173" s="10">
        <f>1000+3900</f>
        <v>4900</v>
      </c>
      <c r="AI173" s="41">
        <f t="shared" si="92"/>
        <v>1875.75</v>
      </c>
      <c r="AJ173" s="10">
        <f t="shared" si="179"/>
        <v>0</v>
      </c>
      <c r="AK173" s="10">
        <f t="shared" si="6"/>
        <v>0</v>
      </c>
    </row>
    <row r="174" spans="1:37" ht="15.75" customHeight="1">
      <c r="A174" s="3" t="s">
        <v>297</v>
      </c>
      <c r="B174" s="2" t="s">
        <v>298</v>
      </c>
      <c r="C174" s="3" t="s">
        <v>290</v>
      </c>
      <c r="D174" s="3" t="s">
        <v>290</v>
      </c>
      <c r="E174" s="3" t="s">
        <v>290</v>
      </c>
      <c r="F174" s="3"/>
      <c r="G174" s="3" t="s">
        <v>296</v>
      </c>
      <c r="H174" s="3"/>
      <c r="I174" s="3" t="s">
        <v>221</v>
      </c>
      <c r="J174" s="3" t="s">
        <v>49</v>
      </c>
      <c r="K174" s="36">
        <v>7500</v>
      </c>
      <c r="L174" s="3"/>
      <c r="M174" s="4"/>
      <c r="N174" s="2">
        <v>50</v>
      </c>
      <c r="O174" s="5" t="s">
        <v>55</v>
      </c>
      <c r="P174" s="25">
        <v>17.52</v>
      </c>
      <c r="Q174" s="26">
        <f t="shared" si="0"/>
        <v>551.88</v>
      </c>
      <c r="R174" s="37">
        <v>3</v>
      </c>
      <c r="S174" s="2"/>
      <c r="T174" s="2">
        <v>386</v>
      </c>
      <c r="U174" s="2"/>
      <c r="V174" s="10">
        <v>636000</v>
      </c>
      <c r="W174" s="10">
        <v>468800</v>
      </c>
      <c r="X174" s="10">
        <v>795</v>
      </c>
      <c r="Y174" s="10">
        <v>586</v>
      </c>
      <c r="Z174" s="2">
        <f t="shared" ref="Z174:AC174" si="182">_xlfn.RANK.EQ(V174,V$4:V$200)</f>
        <v>3</v>
      </c>
      <c r="AA174" s="2">
        <f t="shared" si="182"/>
        <v>4</v>
      </c>
      <c r="AB174" s="2">
        <f t="shared" si="182"/>
        <v>2</v>
      </c>
      <c r="AC174" s="2">
        <f t="shared" si="182"/>
        <v>2</v>
      </c>
      <c r="AD174" s="10">
        <f t="shared" si="2"/>
        <v>690.5</v>
      </c>
      <c r="AE174" s="2">
        <v>193</v>
      </c>
      <c r="AF174" s="10">
        <f t="shared" si="3"/>
        <v>586</v>
      </c>
      <c r="AG174" s="10">
        <v>1200</v>
      </c>
      <c r="AH174" s="10">
        <f>1200+3900</f>
        <v>5100</v>
      </c>
      <c r="AI174" s="41">
        <f t="shared" si="92"/>
        <v>1421.75</v>
      </c>
      <c r="AJ174" s="10">
        <f t="shared" si="179"/>
        <v>0</v>
      </c>
      <c r="AK174" s="10">
        <f t="shared" si="6"/>
        <v>0</v>
      </c>
    </row>
    <row r="175" spans="1:37">
      <c r="A175" s="3" t="s">
        <v>299</v>
      </c>
      <c r="B175" s="2" t="s">
        <v>300</v>
      </c>
      <c r="C175" s="3" t="s">
        <v>290</v>
      </c>
      <c r="D175" s="3" t="s">
        <v>290</v>
      </c>
      <c r="E175" s="3" t="s">
        <v>290</v>
      </c>
      <c r="F175" s="3" t="s">
        <v>61</v>
      </c>
      <c r="G175" s="3" t="s">
        <v>296</v>
      </c>
      <c r="H175" s="3"/>
      <c r="I175" s="3" t="s">
        <v>221</v>
      </c>
      <c r="J175" s="3" t="s">
        <v>49</v>
      </c>
      <c r="K175" s="4"/>
      <c r="L175" s="3"/>
      <c r="M175" s="4"/>
      <c r="N175" s="2">
        <v>50</v>
      </c>
      <c r="O175" s="5" t="s">
        <v>55</v>
      </c>
      <c r="P175" s="25">
        <v>13.8</v>
      </c>
      <c r="Q175" s="26">
        <f t="shared" si="0"/>
        <v>434.70000000000005</v>
      </c>
      <c r="R175" s="38">
        <v>1.5</v>
      </c>
      <c r="S175" s="2"/>
      <c r="T175" s="2">
        <v>122</v>
      </c>
      <c r="U175" s="2"/>
      <c r="V175" s="10">
        <v>132890</v>
      </c>
      <c r="W175" s="10">
        <v>119310</v>
      </c>
      <c r="X175" s="10">
        <v>137</v>
      </c>
      <c r="Y175" s="10">
        <v>123</v>
      </c>
      <c r="Z175" s="2">
        <f t="shared" ref="Z175:AC175" si="183">_xlfn.RANK.EQ(V175,V$4:V$200)</f>
        <v>20</v>
      </c>
      <c r="AA175" s="2">
        <f t="shared" si="183"/>
        <v>41</v>
      </c>
      <c r="AB175" s="2">
        <f t="shared" si="183"/>
        <v>16</v>
      </c>
      <c r="AC175" s="2">
        <f t="shared" si="183"/>
        <v>25</v>
      </c>
      <c r="AD175" s="10">
        <f t="shared" si="2"/>
        <v>130</v>
      </c>
      <c r="AE175" s="2">
        <v>497</v>
      </c>
      <c r="AF175" s="10">
        <f t="shared" si="3"/>
        <v>123</v>
      </c>
      <c r="AG175" s="2"/>
      <c r="AH175" s="2"/>
      <c r="AI175" s="41">
        <f t="shared" si="92"/>
        <v>317</v>
      </c>
      <c r="AJ175" s="10">
        <f t="shared" si="179"/>
        <v>0</v>
      </c>
      <c r="AK175" s="10">
        <f t="shared" si="6"/>
        <v>0</v>
      </c>
    </row>
    <row r="176" spans="1:37">
      <c r="A176" s="3" t="s">
        <v>301</v>
      </c>
      <c r="B176" s="2" t="s">
        <v>302</v>
      </c>
      <c r="C176" s="3" t="s">
        <v>290</v>
      </c>
      <c r="D176" s="3" t="s">
        <v>290</v>
      </c>
      <c r="E176" s="3" t="s">
        <v>290</v>
      </c>
      <c r="F176" s="3"/>
      <c r="G176" s="3" t="s">
        <v>296</v>
      </c>
      <c r="H176" s="3"/>
      <c r="I176" s="3" t="s">
        <v>221</v>
      </c>
      <c r="J176" s="3" t="s">
        <v>49</v>
      </c>
      <c r="K176" s="36">
        <v>7500</v>
      </c>
      <c r="L176" s="3"/>
      <c r="M176" s="4"/>
      <c r="N176" s="2">
        <v>50</v>
      </c>
      <c r="O176" s="5" t="s">
        <v>55</v>
      </c>
      <c r="P176" s="6">
        <v>19.059999999999999</v>
      </c>
      <c r="Q176" s="26">
        <f t="shared" si="0"/>
        <v>600.39</v>
      </c>
      <c r="R176" s="27">
        <v>3</v>
      </c>
      <c r="S176" s="2"/>
      <c r="T176" s="2">
        <v>193</v>
      </c>
      <c r="U176" s="2"/>
      <c r="V176" s="10">
        <v>661540</v>
      </c>
      <c r="W176" s="10">
        <v>558720</v>
      </c>
      <c r="X176" s="10">
        <v>682</v>
      </c>
      <c r="Y176" s="10">
        <v>576</v>
      </c>
      <c r="Z176" s="2">
        <f t="shared" ref="Z176:AC176" si="184">_xlfn.RANK.EQ(V176,V$4:V$200)</f>
        <v>2</v>
      </c>
      <c r="AA176" s="2">
        <f t="shared" si="184"/>
        <v>2</v>
      </c>
      <c r="AB176" s="2">
        <f t="shared" si="184"/>
        <v>3</v>
      </c>
      <c r="AC176" s="2">
        <f t="shared" si="184"/>
        <v>3</v>
      </c>
      <c r="AD176" s="10">
        <f t="shared" si="2"/>
        <v>629</v>
      </c>
      <c r="AE176" s="2">
        <v>640</v>
      </c>
      <c r="AF176" s="10">
        <f t="shared" si="3"/>
        <v>576</v>
      </c>
      <c r="AG176" s="10">
        <v>1000</v>
      </c>
      <c r="AH176" s="2"/>
      <c r="AI176" s="41">
        <f t="shared" si="92"/>
        <v>1136.5</v>
      </c>
      <c r="AJ176" s="34">
        <f t="shared" si="179"/>
        <v>100</v>
      </c>
      <c r="AK176" s="10">
        <f t="shared" si="6"/>
        <v>60039</v>
      </c>
    </row>
    <row r="177" spans="1:37">
      <c r="A177" s="3" t="s">
        <v>303</v>
      </c>
      <c r="B177" s="2" t="s">
        <v>304</v>
      </c>
      <c r="C177" s="3" t="s">
        <v>290</v>
      </c>
      <c r="D177" s="3" t="s">
        <v>290</v>
      </c>
      <c r="E177" s="3" t="s">
        <v>290</v>
      </c>
      <c r="F177" s="3" t="s">
        <v>61</v>
      </c>
      <c r="G177" s="3" t="s">
        <v>305</v>
      </c>
      <c r="H177" s="3"/>
      <c r="I177" s="3" t="s">
        <v>306</v>
      </c>
      <c r="J177" s="3" t="s">
        <v>49</v>
      </c>
      <c r="K177" s="36">
        <v>1014</v>
      </c>
      <c r="L177" s="3"/>
      <c r="M177" s="4"/>
      <c r="N177" s="2">
        <v>50</v>
      </c>
      <c r="O177" s="5" t="s">
        <v>55</v>
      </c>
      <c r="P177" s="6">
        <v>11.16</v>
      </c>
      <c r="Q177" s="26">
        <f t="shared" si="0"/>
        <v>351.54</v>
      </c>
      <c r="R177" s="27">
        <v>3</v>
      </c>
      <c r="S177" s="2"/>
      <c r="T177" s="2">
        <v>51</v>
      </c>
      <c r="U177" s="2"/>
      <c r="V177" s="10">
        <v>43070</v>
      </c>
      <c r="W177" s="10">
        <v>29500</v>
      </c>
      <c r="X177" s="10">
        <v>73</v>
      </c>
      <c r="Y177" s="10">
        <v>50</v>
      </c>
      <c r="Z177" s="2">
        <f t="shared" ref="Z177:AC177" si="185">_xlfn.RANK.EQ(V177,V$4:V$200)</f>
        <v>101</v>
      </c>
      <c r="AA177" s="2">
        <f t="shared" si="185"/>
        <v>140</v>
      </c>
      <c r="AB177" s="2">
        <f t="shared" si="185"/>
        <v>38</v>
      </c>
      <c r="AC177" s="2">
        <f t="shared" si="185"/>
        <v>73</v>
      </c>
      <c r="AD177" s="10">
        <f t="shared" si="2"/>
        <v>61.5</v>
      </c>
      <c r="AE177" s="2">
        <v>111</v>
      </c>
      <c r="AF177" s="10">
        <f t="shared" si="3"/>
        <v>50</v>
      </c>
      <c r="AG177" s="2"/>
      <c r="AH177" s="2"/>
      <c r="AI177" s="41">
        <f t="shared" si="92"/>
        <v>143.25</v>
      </c>
      <c r="AJ177" s="10">
        <v>0</v>
      </c>
      <c r="AK177" s="10">
        <f t="shared" si="6"/>
        <v>0</v>
      </c>
    </row>
    <row r="178" spans="1:37">
      <c r="A178" s="3" t="s">
        <v>307</v>
      </c>
      <c r="B178" s="2" t="s">
        <v>308</v>
      </c>
      <c r="C178" s="3" t="s">
        <v>290</v>
      </c>
      <c r="D178" s="3" t="s">
        <v>290</v>
      </c>
      <c r="E178" s="3" t="s">
        <v>290</v>
      </c>
      <c r="F178" s="3" t="s">
        <v>61</v>
      </c>
      <c r="G178" s="3" t="s">
        <v>305</v>
      </c>
      <c r="H178" s="3"/>
      <c r="I178" s="3" t="s">
        <v>306</v>
      </c>
      <c r="J178" s="3" t="s">
        <v>49</v>
      </c>
      <c r="K178" s="36">
        <v>389</v>
      </c>
      <c r="L178" s="3"/>
      <c r="M178" s="4"/>
      <c r="N178" s="2">
        <v>50</v>
      </c>
      <c r="O178" s="5" t="s">
        <v>55</v>
      </c>
      <c r="P178" s="25">
        <v>12.4</v>
      </c>
      <c r="Q178" s="26">
        <f t="shared" si="0"/>
        <v>390.6</v>
      </c>
      <c r="R178" s="27">
        <v>3</v>
      </c>
      <c r="S178" s="2"/>
      <c r="T178" s="2">
        <v>51</v>
      </c>
      <c r="U178" s="2"/>
      <c r="V178" s="10">
        <v>16520</v>
      </c>
      <c r="W178" s="10">
        <v>11800</v>
      </c>
      <c r="X178" s="10">
        <v>28</v>
      </c>
      <c r="Y178" s="10">
        <v>20</v>
      </c>
      <c r="Z178" s="2">
        <f t="shared" ref="Z178:AC178" si="186">_xlfn.RANK.EQ(V178,V$4:V$200)</f>
        <v>148</v>
      </c>
      <c r="AA178" s="2">
        <f t="shared" si="186"/>
        <v>181</v>
      </c>
      <c r="AB178" s="2">
        <f t="shared" si="186"/>
        <v>99</v>
      </c>
      <c r="AC178" s="2">
        <f t="shared" si="186"/>
        <v>131</v>
      </c>
      <c r="AD178" s="10">
        <f t="shared" si="2"/>
        <v>24</v>
      </c>
      <c r="AE178" s="2">
        <v>460</v>
      </c>
      <c r="AF178" s="10">
        <f t="shared" si="3"/>
        <v>20</v>
      </c>
      <c r="AG178" s="2"/>
      <c r="AH178" s="2"/>
      <c r="AI178" s="41">
        <f t="shared" si="92"/>
        <v>87</v>
      </c>
      <c r="AJ178" s="10">
        <v>0</v>
      </c>
      <c r="AK178" s="10">
        <f t="shared" si="6"/>
        <v>0</v>
      </c>
    </row>
    <row r="179" spans="1:37">
      <c r="A179" s="24" t="s">
        <v>309</v>
      </c>
      <c r="B179" s="2" t="s">
        <v>310</v>
      </c>
      <c r="C179" s="3"/>
      <c r="D179" s="3" t="s">
        <v>46</v>
      </c>
      <c r="E179" s="3" t="s">
        <v>46</v>
      </c>
      <c r="F179" s="3"/>
      <c r="G179" s="3" t="s">
        <v>311</v>
      </c>
      <c r="H179" s="3"/>
      <c r="I179" s="3" t="s">
        <v>221</v>
      </c>
      <c r="J179" s="3" t="s">
        <v>49</v>
      </c>
      <c r="K179" s="4">
        <v>3000</v>
      </c>
      <c r="L179" s="3"/>
      <c r="M179" s="4"/>
      <c r="N179" s="2"/>
      <c r="O179" s="5" t="s">
        <v>50</v>
      </c>
      <c r="P179" s="25">
        <v>235</v>
      </c>
      <c r="Q179" s="26">
        <f t="shared" si="0"/>
        <v>235</v>
      </c>
      <c r="R179" s="27">
        <v>1.5</v>
      </c>
      <c r="S179" s="2"/>
      <c r="T179" s="2">
        <v>173</v>
      </c>
      <c r="U179" s="2"/>
      <c r="V179" s="10">
        <v>0</v>
      </c>
      <c r="W179" s="10">
        <v>171387</v>
      </c>
      <c r="X179" s="10">
        <v>0</v>
      </c>
      <c r="Y179" s="10">
        <v>347</v>
      </c>
      <c r="Z179" s="2">
        <f t="shared" ref="Z179:AC179" si="187">_xlfn.RANK.EQ(V179,V$4:V$200)</f>
        <v>168</v>
      </c>
      <c r="AA179" s="2">
        <f t="shared" si="187"/>
        <v>17</v>
      </c>
      <c r="AB179" s="2">
        <f t="shared" si="187"/>
        <v>176</v>
      </c>
      <c r="AC179" s="2">
        <f t="shared" si="187"/>
        <v>5</v>
      </c>
      <c r="AD179" s="10">
        <f t="shared" si="2"/>
        <v>173.5</v>
      </c>
      <c r="AE179" s="10">
        <v>1260</v>
      </c>
      <c r="AF179" s="10">
        <f t="shared" si="3"/>
        <v>347</v>
      </c>
      <c r="AG179" s="2"/>
      <c r="AH179" s="2"/>
      <c r="AI179" s="41">
        <f t="shared" si="92"/>
        <v>693.5</v>
      </c>
      <c r="AJ179" s="10">
        <f t="shared" ref="AJ179:AJ200" si="188">IF(F179="V",0,
   IF(N179="",
      MAX(AI179-(AE179-AF179)-AG179-AH179,0),
      CEILING(MAX(AI179-(AE179-AF179)-AG179-AH179,0),N179)
   )
)</f>
        <v>0</v>
      </c>
      <c r="AK179" s="10">
        <f t="shared" si="6"/>
        <v>0</v>
      </c>
    </row>
    <row r="180" spans="1:37">
      <c r="A180" s="3">
        <v>10477</v>
      </c>
      <c r="B180" s="2" t="s">
        <v>312</v>
      </c>
      <c r="C180" s="3"/>
      <c r="D180" s="3" t="s">
        <v>46</v>
      </c>
      <c r="E180" s="3" t="s">
        <v>46</v>
      </c>
      <c r="F180" s="3"/>
      <c r="G180" s="3" t="s">
        <v>52</v>
      </c>
      <c r="H180" s="3"/>
      <c r="I180" s="3" t="s">
        <v>54</v>
      </c>
      <c r="J180" s="3" t="s">
        <v>49</v>
      </c>
      <c r="K180" s="4"/>
      <c r="L180" s="3"/>
      <c r="M180" s="4"/>
      <c r="N180" s="2">
        <v>5</v>
      </c>
      <c r="O180" s="5" t="s">
        <v>55</v>
      </c>
      <c r="P180" s="25">
        <v>19.350000000000001</v>
      </c>
      <c r="Q180" s="26">
        <f t="shared" si="0"/>
        <v>609.52500000000009</v>
      </c>
      <c r="R180" s="27">
        <v>2</v>
      </c>
      <c r="S180" s="2"/>
      <c r="T180" s="2">
        <v>51</v>
      </c>
      <c r="U180" s="2"/>
      <c r="V180" s="10">
        <v>0</v>
      </c>
      <c r="W180" s="10">
        <v>174090</v>
      </c>
      <c r="X180" s="10">
        <v>0</v>
      </c>
      <c r="Y180" s="10">
        <v>169</v>
      </c>
      <c r="Z180" s="2">
        <f t="shared" ref="Z180:AC180" si="189">_xlfn.RANK.EQ(V180,V$4:V$200)</f>
        <v>168</v>
      </c>
      <c r="AA180" s="2">
        <f t="shared" si="189"/>
        <v>15</v>
      </c>
      <c r="AB180" s="2">
        <f t="shared" si="189"/>
        <v>176</v>
      </c>
      <c r="AC180" s="2">
        <f t="shared" si="189"/>
        <v>14</v>
      </c>
      <c r="AD180" s="10">
        <f t="shared" si="2"/>
        <v>84.5</v>
      </c>
      <c r="AE180" s="2">
        <v>800</v>
      </c>
      <c r="AF180" s="10">
        <f t="shared" si="3"/>
        <v>169</v>
      </c>
      <c r="AG180" s="2"/>
      <c r="AH180" s="2"/>
      <c r="AI180" s="41">
        <f t="shared" si="92"/>
        <v>304.5</v>
      </c>
      <c r="AJ180" s="10">
        <f t="shared" si="188"/>
        <v>0</v>
      </c>
      <c r="AK180" s="10">
        <f t="shared" si="6"/>
        <v>0</v>
      </c>
    </row>
    <row r="181" spans="1:37">
      <c r="A181" s="3">
        <v>10478</v>
      </c>
      <c r="B181" s="2" t="s">
        <v>313</v>
      </c>
      <c r="C181" s="3"/>
      <c r="D181" s="3" t="s">
        <v>46</v>
      </c>
      <c r="E181" s="3" t="s">
        <v>46</v>
      </c>
      <c r="F181" s="3"/>
      <c r="G181" s="3" t="s">
        <v>52</v>
      </c>
      <c r="H181" s="3"/>
      <c r="I181" s="3" t="s">
        <v>54</v>
      </c>
      <c r="J181" s="3" t="s">
        <v>49</v>
      </c>
      <c r="K181" s="4"/>
      <c r="L181" s="3"/>
      <c r="M181" s="4"/>
      <c r="N181" s="2">
        <v>5</v>
      </c>
      <c r="O181" s="5" t="s">
        <v>55</v>
      </c>
      <c r="P181" s="25">
        <v>12.6</v>
      </c>
      <c r="Q181" s="26">
        <f t="shared" si="0"/>
        <v>396.9</v>
      </c>
      <c r="R181" s="27">
        <v>2</v>
      </c>
      <c r="S181" s="2"/>
      <c r="T181" s="2">
        <v>51</v>
      </c>
      <c r="U181" s="2"/>
      <c r="V181" s="10">
        <v>0</v>
      </c>
      <c r="W181" s="10">
        <v>81205</v>
      </c>
      <c r="X181" s="10">
        <v>0</v>
      </c>
      <c r="Y181" s="10">
        <v>137</v>
      </c>
      <c r="Z181" s="2">
        <f t="shared" ref="Z181:AC181" si="190">_xlfn.RANK.EQ(V181,V$4:V$200)</f>
        <v>168</v>
      </c>
      <c r="AA181" s="2">
        <f t="shared" si="190"/>
        <v>66</v>
      </c>
      <c r="AB181" s="2">
        <f t="shared" si="190"/>
        <v>176</v>
      </c>
      <c r="AC181" s="2">
        <f t="shared" si="190"/>
        <v>20</v>
      </c>
      <c r="AD181" s="10">
        <f t="shared" si="2"/>
        <v>68.5</v>
      </c>
      <c r="AE181" s="2">
        <v>800</v>
      </c>
      <c r="AF181" s="10">
        <f t="shared" si="3"/>
        <v>137</v>
      </c>
      <c r="AG181" s="2"/>
      <c r="AH181" s="2"/>
      <c r="AI181" s="41">
        <f t="shared" si="92"/>
        <v>256.5</v>
      </c>
      <c r="AJ181" s="10">
        <f t="shared" si="188"/>
        <v>0</v>
      </c>
      <c r="AK181" s="10">
        <f t="shared" si="6"/>
        <v>0</v>
      </c>
    </row>
    <row r="182" spans="1:37">
      <c r="A182" s="3">
        <v>10476</v>
      </c>
      <c r="B182" s="2" t="s">
        <v>314</v>
      </c>
      <c r="C182" s="3"/>
      <c r="D182" s="3" t="s">
        <v>46</v>
      </c>
      <c r="E182" s="3" t="s">
        <v>46</v>
      </c>
      <c r="F182" s="3"/>
      <c r="G182" s="3" t="s">
        <v>52</v>
      </c>
      <c r="H182" s="3"/>
      <c r="I182" s="3" t="s">
        <v>54</v>
      </c>
      <c r="J182" s="3" t="s">
        <v>49</v>
      </c>
      <c r="K182" s="4"/>
      <c r="L182" s="3"/>
      <c r="M182" s="4"/>
      <c r="N182" s="2">
        <v>5</v>
      </c>
      <c r="O182" s="5" t="s">
        <v>55</v>
      </c>
      <c r="P182" s="25">
        <v>18</v>
      </c>
      <c r="Q182" s="26">
        <f t="shared" si="0"/>
        <v>567</v>
      </c>
      <c r="R182" s="27">
        <v>2</v>
      </c>
      <c r="S182" s="2"/>
      <c r="T182" s="2">
        <v>51</v>
      </c>
      <c r="U182" s="2"/>
      <c r="V182" s="10">
        <v>0</v>
      </c>
      <c r="W182" s="10">
        <v>81372</v>
      </c>
      <c r="X182" s="10">
        <v>0</v>
      </c>
      <c r="Y182" s="10">
        <v>85</v>
      </c>
      <c r="Z182" s="2">
        <f t="shared" ref="Z182:AC182" si="191">_xlfn.RANK.EQ(V182,V$4:V$200)</f>
        <v>168</v>
      </c>
      <c r="AA182" s="2">
        <f t="shared" si="191"/>
        <v>65</v>
      </c>
      <c r="AB182" s="2">
        <f t="shared" si="191"/>
        <v>176</v>
      </c>
      <c r="AC182" s="2">
        <f t="shared" si="191"/>
        <v>41</v>
      </c>
      <c r="AD182" s="10">
        <f t="shared" si="2"/>
        <v>42.5</v>
      </c>
      <c r="AE182" s="2">
        <v>600</v>
      </c>
      <c r="AF182" s="10">
        <f t="shared" si="3"/>
        <v>85</v>
      </c>
      <c r="AG182" s="2"/>
      <c r="AH182" s="2"/>
      <c r="AI182" s="41">
        <f t="shared" si="92"/>
        <v>178.5</v>
      </c>
      <c r="AJ182" s="10">
        <f t="shared" si="188"/>
        <v>0</v>
      </c>
      <c r="AK182" s="10">
        <f t="shared" si="6"/>
        <v>0</v>
      </c>
    </row>
    <row r="183" spans="1:37">
      <c r="A183" s="3">
        <v>10229</v>
      </c>
      <c r="B183" s="2" t="s">
        <v>315</v>
      </c>
      <c r="C183" s="3"/>
      <c r="D183" s="3" t="s">
        <v>46</v>
      </c>
      <c r="E183" s="3" t="s">
        <v>46</v>
      </c>
      <c r="F183" s="3"/>
      <c r="G183" s="3" t="s">
        <v>52</v>
      </c>
      <c r="H183" s="3" t="s">
        <v>53</v>
      </c>
      <c r="I183" s="3" t="s">
        <v>54</v>
      </c>
      <c r="J183" s="3" t="s">
        <v>49</v>
      </c>
      <c r="K183" s="4" t="s">
        <v>316</v>
      </c>
      <c r="L183" s="3"/>
      <c r="M183" s="4"/>
      <c r="N183" s="2">
        <v>5</v>
      </c>
      <c r="O183" s="5" t="s">
        <v>55</v>
      </c>
      <c r="P183" s="25">
        <v>226.78</v>
      </c>
      <c r="Q183" s="26">
        <f t="shared" si="0"/>
        <v>7143.57</v>
      </c>
      <c r="R183" s="27">
        <v>2</v>
      </c>
      <c r="S183" s="2"/>
      <c r="T183" s="2">
        <v>51</v>
      </c>
      <c r="U183" s="2"/>
      <c r="V183" s="10">
        <v>0</v>
      </c>
      <c r="W183" s="10">
        <v>151196</v>
      </c>
      <c r="X183" s="10">
        <v>0</v>
      </c>
      <c r="Y183" s="10">
        <v>16</v>
      </c>
      <c r="Z183" s="2">
        <f t="shared" ref="Z183:AC183" si="192">_xlfn.RANK.EQ(V183,V$4:V$200)</f>
        <v>168</v>
      </c>
      <c r="AA183" s="2">
        <f t="shared" si="192"/>
        <v>22</v>
      </c>
      <c r="AB183" s="2">
        <f t="shared" si="192"/>
        <v>176</v>
      </c>
      <c r="AC183" s="2">
        <f t="shared" si="192"/>
        <v>147</v>
      </c>
      <c r="AD183" s="10">
        <f t="shared" si="2"/>
        <v>8</v>
      </c>
      <c r="AE183" s="2">
        <v>62</v>
      </c>
      <c r="AF183" s="10">
        <f t="shared" si="3"/>
        <v>16</v>
      </c>
      <c r="AG183" s="2">
        <v>25</v>
      </c>
      <c r="AH183" s="2"/>
      <c r="AI183" s="41">
        <f t="shared" si="92"/>
        <v>75</v>
      </c>
      <c r="AJ183" s="10">
        <f t="shared" si="188"/>
        <v>5</v>
      </c>
      <c r="AK183" s="10">
        <f t="shared" si="6"/>
        <v>35717.85</v>
      </c>
    </row>
    <row r="184" spans="1:37">
      <c r="A184" s="3">
        <v>10227</v>
      </c>
      <c r="B184" s="2" t="s">
        <v>317</v>
      </c>
      <c r="C184" s="3"/>
      <c r="D184" s="3" t="s">
        <v>46</v>
      </c>
      <c r="E184" s="3" t="s">
        <v>46</v>
      </c>
      <c r="F184" s="3"/>
      <c r="G184" s="3" t="s">
        <v>52</v>
      </c>
      <c r="H184" s="3" t="s">
        <v>53</v>
      </c>
      <c r="I184" s="3" t="s">
        <v>54</v>
      </c>
      <c r="J184" s="3" t="s">
        <v>49</v>
      </c>
      <c r="K184" s="4" t="s">
        <v>316</v>
      </c>
      <c r="L184" s="3"/>
      <c r="M184" s="4"/>
      <c r="N184" s="2">
        <v>5</v>
      </c>
      <c r="O184" s="5" t="s">
        <v>55</v>
      </c>
      <c r="P184" s="39">
        <v>98.6</v>
      </c>
      <c r="Q184" s="26">
        <f t="shared" si="0"/>
        <v>3105.8999999999996</v>
      </c>
      <c r="R184" s="27">
        <v>2</v>
      </c>
      <c r="S184" s="2"/>
      <c r="T184" s="2">
        <v>51</v>
      </c>
      <c r="U184" s="2"/>
      <c r="V184" s="10">
        <v>3960</v>
      </c>
      <c r="W184" s="10">
        <v>102531</v>
      </c>
      <c r="X184" s="10">
        <v>1</v>
      </c>
      <c r="Y184" s="10">
        <v>25</v>
      </c>
      <c r="Z184" s="2">
        <f t="shared" ref="Z184:AC184" si="193">_xlfn.RANK.EQ(V184,V$4:V$200)</f>
        <v>165</v>
      </c>
      <c r="AA184" s="2">
        <f t="shared" si="193"/>
        <v>50</v>
      </c>
      <c r="AB184" s="2">
        <f t="shared" si="193"/>
        <v>174</v>
      </c>
      <c r="AC184" s="2">
        <f t="shared" si="193"/>
        <v>116</v>
      </c>
      <c r="AD184" s="10">
        <f t="shared" si="2"/>
        <v>13</v>
      </c>
      <c r="AE184" s="2">
        <v>123</v>
      </c>
      <c r="AF184" s="10">
        <f t="shared" si="3"/>
        <v>25</v>
      </c>
      <c r="AG184" s="2"/>
      <c r="AH184" s="2"/>
      <c r="AI184" s="41">
        <f t="shared" si="92"/>
        <v>88.5</v>
      </c>
      <c r="AJ184" s="10">
        <f t="shared" si="188"/>
        <v>0</v>
      </c>
      <c r="AK184" s="10">
        <f t="shared" si="6"/>
        <v>0</v>
      </c>
    </row>
    <row r="185" spans="1:37">
      <c r="A185" s="3">
        <v>10248</v>
      </c>
      <c r="B185" s="2" t="s">
        <v>318</v>
      </c>
      <c r="C185" s="3"/>
      <c r="D185" s="3" t="s">
        <v>46</v>
      </c>
      <c r="E185" s="3" t="s">
        <v>46</v>
      </c>
      <c r="F185" s="3"/>
      <c r="G185" s="3" t="s">
        <v>52</v>
      </c>
      <c r="H185" s="3" t="s">
        <v>319</v>
      </c>
      <c r="I185" s="3" t="s">
        <v>54</v>
      </c>
      <c r="J185" s="3" t="s">
        <v>49</v>
      </c>
      <c r="K185" s="4" t="s">
        <v>316</v>
      </c>
      <c r="L185" s="3"/>
      <c r="M185" s="4"/>
      <c r="N185" s="2">
        <v>5</v>
      </c>
      <c r="O185" s="5" t="s">
        <v>55</v>
      </c>
      <c r="P185" s="39">
        <v>53</v>
      </c>
      <c r="Q185" s="26">
        <f t="shared" si="0"/>
        <v>1669.5</v>
      </c>
      <c r="R185" s="27">
        <v>2</v>
      </c>
      <c r="S185" s="2"/>
      <c r="T185" s="2">
        <v>51</v>
      </c>
      <c r="U185" s="2"/>
      <c r="V185" s="10">
        <v>0</v>
      </c>
      <c r="W185" s="10">
        <v>124684</v>
      </c>
      <c r="X185" s="10">
        <v>0</v>
      </c>
      <c r="Y185" s="10">
        <v>51</v>
      </c>
      <c r="Z185" s="2">
        <f t="shared" ref="Z185:AC185" si="194">_xlfn.RANK.EQ(V185,V$4:V$200)</f>
        <v>168</v>
      </c>
      <c r="AA185" s="2">
        <f t="shared" si="194"/>
        <v>38</v>
      </c>
      <c r="AB185" s="2">
        <f t="shared" si="194"/>
        <v>176</v>
      </c>
      <c r="AC185" s="2">
        <f t="shared" si="194"/>
        <v>71</v>
      </c>
      <c r="AD185" s="10">
        <f t="shared" si="2"/>
        <v>25.5</v>
      </c>
      <c r="AE185" s="2">
        <v>48</v>
      </c>
      <c r="AF185" s="10">
        <f t="shared" si="3"/>
        <v>51</v>
      </c>
      <c r="AG185" s="2">
        <v>100</v>
      </c>
      <c r="AH185" s="2"/>
      <c r="AI185" s="41">
        <f t="shared" si="92"/>
        <v>127.5</v>
      </c>
      <c r="AJ185" s="10">
        <f t="shared" si="188"/>
        <v>35</v>
      </c>
      <c r="AK185" s="10">
        <f t="shared" si="6"/>
        <v>58432.5</v>
      </c>
    </row>
    <row r="186" spans="1:37">
      <c r="A186" s="3">
        <v>10249</v>
      </c>
      <c r="B186" s="2" t="s">
        <v>320</v>
      </c>
      <c r="C186" s="3"/>
      <c r="D186" s="3" t="s">
        <v>46</v>
      </c>
      <c r="E186" s="3" t="s">
        <v>46</v>
      </c>
      <c r="F186" s="3"/>
      <c r="G186" s="3" t="s">
        <v>52</v>
      </c>
      <c r="H186" s="3" t="s">
        <v>319</v>
      </c>
      <c r="I186" s="3" t="s">
        <v>54</v>
      </c>
      <c r="J186" s="3" t="s">
        <v>49</v>
      </c>
      <c r="K186" s="4" t="s">
        <v>316</v>
      </c>
      <c r="L186" s="3"/>
      <c r="M186" s="4"/>
      <c r="N186" s="2">
        <v>5</v>
      </c>
      <c r="O186" s="5" t="s">
        <v>55</v>
      </c>
      <c r="P186" s="39">
        <v>92.6</v>
      </c>
      <c r="Q186" s="26">
        <f t="shared" si="0"/>
        <v>2916.8999999999996</v>
      </c>
      <c r="R186" s="27">
        <v>2</v>
      </c>
      <c r="S186" s="2"/>
      <c r="T186" s="2">
        <v>51</v>
      </c>
      <c r="U186" s="2"/>
      <c r="V186" s="10">
        <v>0</v>
      </c>
      <c r="W186" s="10">
        <v>81543</v>
      </c>
      <c r="X186" s="10">
        <v>0</v>
      </c>
      <c r="Y186" s="10">
        <v>19</v>
      </c>
      <c r="Z186" s="2">
        <f t="shared" ref="Z186:AC186" si="195">_xlfn.RANK.EQ(V186,V$4:V$200)</f>
        <v>168</v>
      </c>
      <c r="AA186" s="2">
        <f t="shared" si="195"/>
        <v>64</v>
      </c>
      <c r="AB186" s="2">
        <f t="shared" si="195"/>
        <v>176</v>
      </c>
      <c r="AC186" s="2">
        <f t="shared" si="195"/>
        <v>135</v>
      </c>
      <c r="AD186" s="10">
        <f t="shared" si="2"/>
        <v>9.5</v>
      </c>
      <c r="AE186" s="2">
        <v>130</v>
      </c>
      <c r="AF186" s="10">
        <f t="shared" si="3"/>
        <v>19</v>
      </c>
      <c r="AG186" s="2"/>
      <c r="AH186" s="2"/>
      <c r="AI186" s="41">
        <f t="shared" si="92"/>
        <v>79.5</v>
      </c>
      <c r="AJ186" s="10">
        <f t="shared" si="188"/>
        <v>0</v>
      </c>
      <c r="AK186" s="10">
        <f t="shared" si="6"/>
        <v>0</v>
      </c>
    </row>
    <row r="187" spans="1:37">
      <c r="A187" s="3">
        <v>10365</v>
      </c>
      <c r="B187" s="2" t="s">
        <v>321</v>
      </c>
      <c r="C187" s="3"/>
      <c r="D187" s="3" t="s">
        <v>46</v>
      </c>
      <c r="E187" s="3" t="s">
        <v>60</v>
      </c>
      <c r="F187" s="3" t="s">
        <v>61</v>
      </c>
      <c r="G187" s="3" t="s">
        <v>75</v>
      </c>
      <c r="H187" s="3"/>
      <c r="I187" s="3" t="s">
        <v>48</v>
      </c>
      <c r="J187" s="3" t="s">
        <v>49</v>
      </c>
      <c r="K187" s="4"/>
      <c r="L187" s="3" t="s">
        <v>55</v>
      </c>
      <c r="M187" s="4">
        <v>8000</v>
      </c>
      <c r="N187" s="2">
        <v>72</v>
      </c>
      <c r="O187" s="5" t="s">
        <v>55</v>
      </c>
      <c r="P187" s="25">
        <v>17.760000000000002</v>
      </c>
      <c r="Q187" s="26">
        <f t="shared" si="0"/>
        <v>559.44000000000005</v>
      </c>
      <c r="R187" s="27">
        <v>1.5</v>
      </c>
      <c r="S187" s="2"/>
      <c r="T187" s="2">
        <v>51</v>
      </c>
      <c r="U187" s="2"/>
      <c r="V187" s="10">
        <v>0</v>
      </c>
      <c r="W187" s="10">
        <v>7822</v>
      </c>
      <c r="X187" s="10">
        <v>0</v>
      </c>
      <c r="Y187" s="10">
        <v>9</v>
      </c>
      <c r="Z187" s="2">
        <f t="shared" ref="Z187:AC187" si="196">_xlfn.RANK.EQ(V187,V$4:V$200)</f>
        <v>168</v>
      </c>
      <c r="AA187" s="2">
        <f t="shared" si="196"/>
        <v>186</v>
      </c>
      <c r="AB187" s="2">
        <f t="shared" si="196"/>
        <v>176</v>
      </c>
      <c r="AC187" s="2">
        <f t="shared" si="196"/>
        <v>177</v>
      </c>
      <c r="AD187" s="10">
        <f t="shared" si="2"/>
        <v>4.5</v>
      </c>
      <c r="AE187" s="2">
        <v>106</v>
      </c>
      <c r="AF187" s="10">
        <f t="shared" si="3"/>
        <v>9</v>
      </c>
      <c r="AG187" s="2"/>
      <c r="AH187" s="2"/>
      <c r="AI187" s="41">
        <f t="shared" si="92"/>
        <v>64.5</v>
      </c>
      <c r="AJ187" s="10">
        <f t="shared" si="188"/>
        <v>0</v>
      </c>
      <c r="AK187" s="10">
        <f t="shared" si="6"/>
        <v>0</v>
      </c>
    </row>
    <row r="188" spans="1:37">
      <c r="A188" s="3">
        <v>10504</v>
      </c>
      <c r="B188" s="2" t="s">
        <v>322</v>
      </c>
      <c r="C188" s="3"/>
      <c r="D188" s="3" t="s">
        <v>46</v>
      </c>
      <c r="E188" s="3" t="s">
        <v>60</v>
      </c>
      <c r="F188" s="3" t="s">
        <v>61</v>
      </c>
      <c r="G188" s="3" t="s">
        <v>118</v>
      </c>
      <c r="H188" s="3"/>
      <c r="I188" s="3" t="s">
        <v>119</v>
      </c>
      <c r="J188" s="3" t="s">
        <v>49</v>
      </c>
      <c r="K188" s="4"/>
      <c r="L188" s="3"/>
      <c r="M188" s="4"/>
      <c r="N188" s="2">
        <v>5</v>
      </c>
      <c r="O188" s="5" t="s">
        <v>120</v>
      </c>
      <c r="P188" s="25">
        <v>8.07</v>
      </c>
      <c r="Q188" s="26">
        <f t="shared" si="0"/>
        <v>298.59000000000003</v>
      </c>
      <c r="R188" s="27">
        <v>1.5</v>
      </c>
      <c r="S188" s="2"/>
      <c r="T188" s="2">
        <v>51</v>
      </c>
      <c r="U188" s="2"/>
      <c r="V188" s="10">
        <v>0</v>
      </c>
      <c r="W188" s="10">
        <v>9749</v>
      </c>
      <c r="X188" s="10">
        <v>0</v>
      </c>
      <c r="Y188" s="10">
        <v>15</v>
      </c>
      <c r="Z188" s="2">
        <f t="shared" ref="Z188:AC188" si="197">_xlfn.RANK.EQ(V188,V$4:V$200)</f>
        <v>168</v>
      </c>
      <c r="AA188" s="2">
        <f t="shared" si="197"/>
        <v>185</v>
      </c>
      <c r="AB188" s="2">
        <f t="shared" si="197"/>
        <v>176</v>
      </c>
      <c r="AC188" s="2">
        <f t="shared" si="197"/>
        <v>152</v>
      </c>
      <c r="AD188" s="10">
        <f t="shared" si="2"/>
        <v>7.5</v>
      </c>
      <c r="AE188" s="2">
        <v>150</v>
      </c>
      <c r="AF188" s="10">
        <f t="shared" si="3"/>
        <v>15</v>
      </c>
      <c r="AG188" s="2"/>
      <c r="AH188" s="2"/>
      <c r="AI188" s="41">
        <f t="shared" si="92"/>
        <v>73.5</v>
      </c>
      <c r="AJ188" s="10">
        <f t="shared" si="188"/>
        <v>0</v>
      </c>
      <c r="AK188" s="10">
        <f t="shared" si="6"/>
        <v>0</v>
      </c>
    </row>
    <row r="189" spans="1:37">
      <c r="A189" s="3">
        <v>10507</v>
      </c>
      <c r="B189" s="2" t="s">
        <v>323</v>
      </c>
      <c r="C189" s="3"/>
      <c r="D189" s="3" t="s">
        <v>46</v>
      </c>
      <c r="E189" s="3" t="s">
        <v>60</v>
      </c>
      <c r="F189" s="3" t="s">
        <v>61</v>
      </c>
      <c r="G189" s="3" t="s">
        <v>148</v>
      </c>
      <c r="H189" s="3"/>
      <c r="I189" s="3" t="s">
        <v>149</v>
      </c>
      <c r="J189" s="3" t="s">
        <v>49</v>
      </c>
      <c r="K189" s="4"/>
      <c r="L189" s="3"/>
      <c r="M189" s="4"/>
      <c r="N189" s="2">
        <v>5</v>
      </c>
      <c r="O189" s="5" t="s">
        <v>55</v>
      </c>
      <c r="P189" s="6"/>
      <c r="Q189" s="26">
        <f t="shared" si="0"/>
        <v>0</v>
      </c>
      <c r="R189" s="27">
        <v>1.5</v>
      </c>
      <c r="S189" s="2"/>
      <c r="T189" s="2">
        <v>102</v>
      </c>
      <c r="U189" s="2"/>
      <c r="V189" s="10">
        <v>0</v>
      </c>
      <c r="W189" s="10">
        <v>138955</v>
      </c>
      <c r="X189" s="10">
        <v>0</v>
      </c>
      <c r="Y189" s="10">
        <v>59</v>
      </c>
      <c r="Z189" s="2">
        <f t="shared" ref="Z189:AC189" si="198">_xlfn.RANK.EQ(V189,V$4:V$200)</f>
        <v>168</v>
      </c>
      <c r="AA189" s="2">
        <f t="shared" si="198"/>
        <v>29</v>
      </c>
      <c r="AB189" s="2">
        <f t="shared" si="198"/>
        <v>176</v>
      </c>
      <c r="AC189" s="2">
        <f t="shared" si="198"/>
        <v>58</v>
      </c>
      <c r="AD189" s="10">
        <f t="shared" si="2"/>
        <v>29.5</v>
      </c>
      <c r="AE189" s="2">
        <v>241</v>
      </c>
      <c r="AF189" s="10">
        <f t="shared" si="3"/>
        <v>59</v>
      </c>
      <c r="AG189" s="2"/>
      <c r="AH189" s="2"/>
      <c r="AI189" s="41">
        <f t="shared" si="92"/>
        <v>190.5</v>
      </c>
      <c r="AJ189" s="10">
        <f t="shared" si="188"/>
        <v>0</v>
      </c>
      <c r="AK189" s="10">
        <f t="shared" si="6"/>
        <v>0</v>
      </c>
    </row>
    <row r="190" spans="1:37">
      <c r="A190" s="3">
        <v>20078</v>
      </c>
      <c r="B190" s="2" t="s">
        <v>324</v>
      </c>
      <c r="C190" s="3"/>
      <c r="D190" s="3" t="s">
        <v>46</v>
      </c>
      <c r="E190" s="3" t="s">
        <v>46</v>
      </c>
      <c r="F190" s="3"/>
      <c r="G190" s="3" t="s">
        <v>52</v>
      </c>
      <c r="H190" s="3" t="s">
        <v>164</v>
      </c>
      <c r="I190" s="3" t="s">
        <v>54</v>
      </c>
      <c r="J190" s="3" t="s">
        <v>49</v>
      </c>
      <c r="K190" s="4"/>
      <c r="L190" s="3" t="s">
        <v>55</v>
      </c>
      <c r="M190" s="4">
        <v>15000</v>
      </c>
      <c r="N190" s="2">
        <v>5</v>
      </c>
      <c r="O190" s="5" t="s">
        <v>55</v>
      </c>
      <c r="P190" s="25">
        <v>35.1</v>
      </c>
      <c r="Q190" s="26">
        <f t="shared" si="0"/>
        <v>1105.6500000000001</v>
      </c>
      <c r="R190" s="27">
        <v>2</v>
      </c>
      <c r="S190" s="2"/>
      <c r="T190" s="2">
        <v>51</v>
      </c>
      <c r="U190" s="2"/>
      <c r="V190" s="10">
        <v>0</v>
      </c>
      <c r="W190" s="10">
        <v>38865</v>
      </c>
      <c r="X190" s="10">
        <v>0</v>
      </c>
      <c r="Y190" s="10">
        <v>21</v>
      </c>
      <c r="Z190" s="2">
        <f t="shared" ref="Z190:AC190" si="199">_xlfn.RANK.EQ(V190,V$4:V$200)</f>
        <v>168</v>
      </c>
      <c r="AA190" s="2">
        <f t="shared" si="199"/>
        <v>124</v>
      </c>
      <c r="AB190" s="2">
        <f t="shared" si="199"/>
        <v>176</v>
      </c>
      <c r="AC190" s="2">
        <f t="shared" si="199"/>
        <v>130</v>
      </c>
      <c r="AD190" s="10">
        <f t="shared" si="2"/>
        <v>10.5</v>
      </c>
      <c r="AE190" s="2"/>
      <c r="AF190" s="10">
        <f t="shared" si="3"/>
        <v>21</v>
      </c>
      <c r="AG190" s="2">
        <v>136</v>
      </c>
      <c r="AH190" s="2"/>
      <c r="AI190" s="41">
        <f t="shared" si="92"/>
        <v>82.5</v>
      </c>
      <c r="AJ190" s="10">
        <f t="shared" si="188"/>
        <v>0</v>
      </c>
      <c r="AK190" s="10">
        <f t="shared" si="6"/>
        <v>0</v>
      </c>
    </row>
    <row r="191" spans="1:37">
      <c r="A191" s="3">
        <v>20160</v>
      </c>
      <c r="B191" s="2" t="s">
        <v>325</v>
      </c>
      <c r="C191" s="3"/>
      <c r="D191" s="3" t="s">
        <v>46</v>
      </c>
      <c r="E191" s="3" t="s">
        <v>46</v>
      </c>
      <c r="F191" s="3"/>
      <c r="G191" s="3" t="s">
        <v>52</v>
      </c>
      <c r="H191" s="3" t="s">
        <v>164</v>
      </c>
      <c r="I191" s="3" t="s">
        <v>54</v>
      </c>
      <c r="J191" s="3" t="s">
        <v>49</v>
      </c>
      <c r="K191" s="4"/>
      <c r="L191" s="3" t="s">
        <v>55</v>
      </c>
      <c r="M191" s="4">
        <v>15000</v>
      </c>
      <c r="N191" s="2">
        <v>5</v>
      </c>
      <c r="O191" s="5" t="s">
        <v>55</v>
      </c>
      <c r="P191" s="25">
        <v>23.4</v>
      </c>
      <c r="Q191" s="26">
        <f t="shared" si="0"/>
        <v>737.09999999999991</v>
      </c>
      <c r="R191" s="27">
        <v>2</v>
      </c>
      <c r="S191" s="2"/>
      <c r="T191" s="2">
        <v>102</v>
      </c>
      <c r="U191" s="2"/>
      <c r="V191" s="10">
        <v>0</v>
      </c>
      <c r="W191" s="10">
        <v>49468</v>
      </c>
      <c r="X191" s="10">
        <v>0</v>
      </c>
      <c r="Y191" s="10">
        <v>40</v>
      </c>
      <c r="Z191" s="2">
        <f t="shared" ref="Z191:AC191" si="200">_xlfn.RANK.EQ(V191,V$4:V$200)</f>
        <v>168</v>
      </c>
      <c r="AA191" s="2">
        <f t="shared" si="200"/>
        <v>106</v>
      </c>
      <c r="AB191" s="2">
        <f t="shared" si="200"/>
        <v>176</v>
      </c>
      <c r="AC191" s="2">
        <f t="shared" si="200"/>
        <v>90</v>
      </c>
      <c r="AD191" s="10">
        <f t="shared" si="2"/>
        <v>20</v>
      </c>
      <c r="AE191" s="2">
        <v>500</v>
      </c>
      <c r="AF191" s="10">
        <f t="shared" si="3"/>
        <v>40</v>
      </c>
      <c r="AG191" s="2"/>
      <c r="AH191" s="2"/>
      <c r="AI191" s="41">
        <f t="shared" si="92"/>
        <v>162</v>
      </c>
      <c r="AJ191" s="10">
        <f t="shared" si="188"/>
        <v>0</v>
      </c>
      <c r="AK191" s="10">
        <f t="shared" si="6"/>
        <v>0</v>
      </c>
    </row>
    <row r="192" spans="1:37">
      <c r="A192" s="3">
        <v>70059</v>
      </c>
      <c r="B192" s="2" t="s">
        <v>326</v>
      </c>
      <c r="C192" s="3"/>
      <c r="D192" s="3" t="s">
        <v>46</v>
      </c>
      <c r="E192" s="3" t="s">
        <v>46</v>
      </c>
      <c r="F192" s="3"/>
      <c r="G192" s="3" t="s">
        <v>75</v>
      </c>
      <c r="H192" s="3"/>
      <c r="I192" s="3" t="s">
        <v>48</v>
      </c>
      <c r="J192" s="3" t="s">
        <v>49</v>
      </c>
      <c r="K192" s="4"/>
      <c r="L192" s="3"/>
      <c r="M192" s="4"/>
      <c r="N192" s="2">
        <v>5</v>
      </c>
      <c r="O192" s="5" t="s">
        <v>55</v>
      </c>
      <c r="P192" s="25">
        <v>184.08</v>
      </c>
      <c r="Q192" s="26">
        <f t="shared" si="0"/>
        <v>5798.52</v>
      </c>
      <c r="R192" s="27">
        <v>1.5</v>
      </c>
      <c r="S192" s="2"/>
      <c r="T192" s="2">
        <v>51</v>
      </c>
      <c r="U192" s="2"/>
      <c r="V192" s="10">
        <v>0</v>
      </c>
      <c r="W192" s="10">
        <v>27152</v>
      </c>
      <c r="X192" s="10">
        <v>0</v>
      </c>
      <c r="Y192" s="10">
        <v>3</v>
      </c>
      <c r="Z192" s="2">
        <f t="shared" ref="Z192:AC192" si="201">_xlfn.RANK.EQ(V192,V$4:V$200)</f>
        <v>168</v>
      </c>
      <c r="AA192" s="2">
        <f t="shared" si="201"/>
        <v>150</v>
      </c>
      <c r="AB192" s="2">
        <f t="shared" si="201"/>
        <v>176</v>
      </c>
      <c r="AC192" s="2">
        <f t="shared" si="201"/>
        <v>196</v>
      </c>
      <c r="AD192" s="10">
        <f t="shared" si="2"/>
        <v>1.5</v>
      </c>
      <c r="AE192" s="2"/>
      <c r="AF192" s="10">
        <f t="shared" si="3"/>
        <v>3</v>
      </c>
      <c r="AG192" s="2">
        <v>167</v>
      </c>
      <c r="AH192" s="2"/>
      <c r="AI192" s="41">
        <f t="shared" si="92"/>
        <v>55.5</v>
      </c>
      <c r="AJ192" s="10">
        <f t="shared" si="188"/>
        <v>0</v>
      </c>
      <c r="AK192" s="10">
        <f t="shared" si="6"/>
        <v>0</v>
      </c>
    </row>
    <row r="193" spans="1:37">
      <c r="A193" s="3">
        <v>30088</v>
      </c>
      <c r="B193" s="2" t="s">
        <v>327</v>
      </c>
      <c r="C193" s="3" t="s">
        <v>46</v>
      </c>
      <c r="D193" s="3" t="s">
        <v>46</v>
      </c>
      <c r="E193" s="3" t="s">
        <v>60</v>
      </c>
      <c r="F193" s="3" t="s">
        <v>61</v>
      </c>
      <c r="G193" s="3" t="s">
        <v>328</v>
      </c>
      <c r="H193" s="3"/>
      <c r="I193" s="3" t="s">
        <v>54</v>
      </c>
      <c r="J193" s="3" t="s">
        <v>49</v>
      </c>
      <c r="K193" s="4"/>
      <c r="L193" s="3"/>
      <c r="M193" s="4"/>
      <c r="N193" s="2">
        <v>5</v>
      </c>
      <c r="O193" s="5" t="s">
        <v>55</v>
      </c>
      <c r="P193" s="25">
        <v>24.15</v>
      </c>
      <c r="Q193" s="26">
        <f t="shared" si="0"/>
        <v>760.72499999999991</v>
      </c>
      <c r="R193" s="27">
        <v>1.5</v>
      </c>
      <c r="S193" s="2"/>
      <c r="T193" s="2">
        <v>51</v>
      </c>
      <c r="U193" s="2"/>
      <c r="V193" s="10">
        <v>0</v>
      </c>
      <c r="W193" s="10">
        <v>13222</v>
      </c>
      <c r="X193" s="10">
        <v>0</v>
      </c>
      <c r="Y193" s="10">
        <v>8</v>
      </c>
      <c r="Z193" s="2">
        <f t="shared" ref="Z193:AC193" si="202">_xlfn.RANK.EQ(V193,V$4:V$200)</f>
        <v>168</v>
      </c>
      <c r="AA193" s="2">
        <f t="shared" si="202"/>
        <v>177</v>
      </c>
      <c r="AB193" s="2">
        <f t="shared" si="202"/>
        <v>176</v>
      </c>
      <c r="AC193" s="2">
        <f t="shared" si="202"/>
        <v>182</v>
      </c>
      <c r="AD193" s="10">
        <f t="shared" si="2"/>
        <v>4</v>
      </c>
      <c r="AE193" s="2">
        <v>110</v>
      </c>
      <c r="AF193" s="10">
        <f t="shared" si="3"/>
        <v>8</v>
      </c>
      <c r="AG193" s="2">
        <v>100</v>
      </c>
      <c r="AH193" s="2"/>
      <c r="AI193" s="41">
        <f t="shared" si="92"/>
        <v>63</v>
      </c>
      <c r="AJ193" s="10">
        <f t="shared" si="188"/>
        <v>0</v>
      </c>
      <c r="AK193" s="10">
        <f t="shared" si="6"/>
        <v>0</v>
      </c>
    </row>
    <row r="194" spans="1:37">
      <c r="A194" s="3">
        <v>40010</v>
      </c>
      <c r="B194" s="2" t="s">
        <v>329</v>
      </c>
      <c r="C194" s="3"/>
      <c r="D194" s="3" t="s">
        <v>46</v>
      </c>
      <c r="E194" s="3" t="s">
        <v>330</v>
      </c>
      <c r="F194" s="3" t="s">
        <v>61</v>
      </c>
      <c r="G194" s="3" t="s">
        <v>191</v>
      </c>
      <c r="H194" s="3"/>
      <c r="I194" s="3" t="s">
        <v>54</v>
      </c>
      <c r="J194" s="3" t="s">
        <v>49</v>
      </c>
      <c r="K194" s="4"/>
      <c r="L194" s="3"/>
      <c r="M194" s="4"/>
      <c r="N194" s="2">
        <v>5</v>
      </c>
      <c r="O194" s="5" t="s">
        <v>55</v>
      </c>
      <c r="P194" s="25">
        <v>194</v>
      </c>
      <c r="Q194" s="26">
        <f t="shared" si="0"/>
        <v>6111</v>
      </c>
      <c r="R194" s="27">
        <v>1.5</v>
      </c>
      <c r="S194" s="2"/>
      <c r="T194" s="2">
        <v>51</v>
      </c>
      <c r="U194" s="2"/>
      <c r="V194" s="10">
        <v>0</v>
      </c>
      <c r="W194" s="10">
        <v>50348</v>
      </c>
      <c r="X194" s="10">
        <v>0</v>
      </c>
      <c r="Y194" s="10">
        <v>11</v>
      </c>
      <c r="Z194" s="2">
        <f t="shared" ref="Z194:AC194" si="203">_xlfn.RANK.EQ(V194,V$4:V$200)</f>
        <v>168</v>
      </c>
      <c r="AA194" s="2">
        <f t="shared" si="203"/>
        <v>103</v>
      </c>
      <c r="AB194" s="2">
        <f t="shared" si="203"/>
        <v>176</v>
      </c>
      <c r="AC194" s="2">
        <f t="shared" si="203"/>
        <v>166</v>
      </c>
      <c r="AD194" s="10">
        <f t="shared" si="2"/>
        <v>5.5</v>
      </c>
      <c r="AE194" s="2">
        <v>91</v>
      </c>
      <c r="AF194" s="10">
        <f t="shared" si="3"/>
        <v>11</v>
      </c>
      <c r="AG194" s="2"/>
      <c r="AH194" s="2"/>
      <c r="AI194" s="41">
        <f t="shared" si="92"/>
        <v>67.5</v>
      </c>
      <c r="AJ194" s="10">
        <f t="shared" si="188"/>
        <v>0</v>
      </c>
      <c r="AK194" s="10">
        <f t="shared" si="6"/>
        <v>0</v>
      </c>
    </row>
    <row r="195" spans="1:37">
      <c r="A195" s="3">
        <v>30043</v>
      </c>
      <c r="B195" s="2" t="s">
        <v>331</v>
      </c>
      <c r="C195" s="3"/>
      <c r="D195" s="3" t="s">
        <v>46</v>
      </c>
      <c r="E195" s="3" t="s">
        <v>330</v>
      </c>
      <c r="F195" s="3" t="s">
        <v>61</v>
      </c>
      <c r="G195" s="3" t="s">
        <v>191</v>
      </c>
      <c r="H195" s="3"/>
      <c r="I195" s="3" t="s">
        <v>54</v>
      </c>
      <c r="J195" s="3" t="s">
        <v>49</v>
      </c>
      <c r="K195" s="4"/>
      <c r="L195" s="3"/>
      <c r="M195" s="4"/>
      <c r="N195" s="2">
        <v>5</v>
      </c>
      <c r="O195" s="5" t="s">
        <v>55</v>
      </c>
      <c r="P195" s="6"/>
      <c r="Q195" s="26">
        <f t="shared" si="0"/>
        <v>0</v>
      </c>
      <c r="R195" s="27">
        <v>1.5</v>
      </c>
      <c r="S195" s="2"/>
      <c r="T195" s="2">
        <v>51</v>
      </c>
      <c r="U195" s="2"/>
      <c r="V195" s="10">
        <v>0</v>
      </c>
      <c r="W195" s="10">
        <v>14241</v>
      </c>
      <c r="X195" s="10">
        <v>0</v>
      </c>
      <c r="Y195" s="10">
        <v>15</v>
      </c>
      <c r="Z195" s="2">
        <f t="shared" ref="Z195:AC195" si="204">_xlfn.RANK.EQ(V195,V$4:V$200)</f>
        <v>168</v>
      </c>
      <c r="AA195" s="2">
        <f t="shared" si="204"/>
        <v>174</v>
      </c>
      <c r="AB195" s="2">
        <f t="shared" si="204"/>
        <v>176</v>
      </c>
      <c r="AC195" s="2">
        <f t="shared" si="204"/>
        <v>152</v>
      </c>
      <c r="AD195" s="10">
        <f t="shared" si="2"/>
        <v>7.5</v>
      </c>
      <c r="AE195" s="2">
        <v>125</v>
      </c>
      <c r="AF195" s="10">
        <f t="shared" si="3"/>
        <v>15</v>
      </c>
      <c r="AG195" s="2"/>
      <c r="AH195" s="2"/>
      <c r="AI195" s="41">
        <f t="shared" si="92"/>
        <v>73.5</v>
      </c>
      <c r="AJ195" s="10">
        <f t="shared" si="188"/>
        <v>0</v>
      </c>
      <c r="AK195" s="10">
        <f t="shared" si="6"/>
        <v>0</v>
      </c>
    </row>
    <row r="196" spans="1:37">
      <c r="A196" s="3">
        <v>30042</v>
      </c>
      <c r="B196" s="2" t="s">
        <v>332</v>
      </c>
      <c r="C196" s="3"/>
      <c r="D196" s="3" t="s">
        <v>46</v>
      </c>
      <c r="E196" s="3" t="s">
        <v>330</v>
      </c>
      <c r="F196" s="3" t="s">
        <v>61</v>
      </c>
      <c r="G196" s="3" t="s">
        <v>191</v>
      </c>
      <c r="H196" s="3"/>
      <c r="I196" s="3" t="s">
        <v>54</v>
      </c>
      <c r="J196" s="3" t="s">
        <v>49</v>
      </c>
      <c r="K196" s="4"/>
      <c r="L196" s="3"/>
      <c r="M196" s="4"/>
      <c r="N196" s="2">
        <v>5</v>
      </c>
      <c r="O196" s="5" t="s">
        <v>55</v>
      </c>
      <c r="P196" s="6"/>
      <c r="Q196" s="26">
        <f t="shared" si="0"/>
        <v>0</v>
      </c>
      <c r="R196" s="27">
        <v>1.5</v>
      </c>
      <c r="S196" s="2"/>
      <c r="T196" s="2">
        <v>51</v>
      </c>
      <c r="U196" s="2"/>
      <c r="V196" s="10">
        <v>0</v>
      </c>
      <c r="W196" s="10">
        <v>3800</v>
      </c>
      <c r="X196" s="10">
        <v>0</v>
      </c>
      <c r="Y196" s="10">
        <v>4</v>
      </c>
      <c r="Z196" s="2">
        <f t="shared" ref="Z196:AC196" si="205">_xlfn.RANK.EQ(V196,V$4:V$200)</f>
        <v>168</v>
      </c>
      <c r="AA196" s="2">
        <f t="shared" si="205"/>
        <v>189</v>
      </c>
      <c r="AB196" s="2">
        <f t="shared" si="205"/>
        <v>176</v>
      </c>
      <c r="AC196" s="2">
        <f t="shared" si="205"/>
        <v>193</v>
      </c>
      <c r="AD196" s="10">
        <f t="shared" si="2"/>
        <v>2</v>
      </c>
      <c r="AE196" s="2">
        <v>85</v>
      </c>
      <c r="AF196" s="10">
        <f t="shared" si="3"/>
        <v>4</v>
      </c>
      <c r="AG196" s="2"/>
      <c r="AH196" s="2"/>
      <c r="AI196" s="41">
        <f t="shared" si="92"/>
        <v>57</v>
      </c>
      <c r="AJ196" s="10">
        <f t="shared" si="188"/>
        <v>0</v>
      </c>
      <c r="AK196" s="10">
        <f t="shared" si="6"/>
        <v>0</v>
      </c>
    </row>
    <row r="197" spans="1:37">
      <c r="A197" s="3">
        <v>30062</v>
      </c>
      <c r="B197" s="2" t="s">
        <v>333</v>
      </c>
      <c r="C197" s="3"/>
      <c r="D197" s="3" t="s">
        <v>46</v>
      </c>
      <c r="E197" s="3" t="s">
        <v>60</v>
      </c>
      <c r="F197" s="3" t="s">
        <v>61</v>
      </c>
      <c r="G197" s="3" t="s">
        <v>75</v>
      </c>
      <c r="H197" s="3"/>
      <c r="I197" s="3" t="s">
        <v>48</v>
      </c>
      <c r="J197" s="3" t="s">
        <v>49</v>
      </c>
      <c r="K197" s="4">
        <v>100</v>
      </c>
      <c r="L197" s="3"/>
      <c r="M197" s="4"/>
      <c r="N197" s="2">
        <v>5</v>
      </c>
      <c r="O197" s="5" t="s">
        <v>55</v>
      </c>
      <c r="P197" s="25">
        <v>69.12</v>
      </c>
      <c r="Q197" s="26">
        <f t="shared" si="0"/>
        <v>2177.2800000000002</v>
      </c>
      <c r="R197" s="27">
        <v>1.5</v>
      </c>
      <c r="S197" s="2"/>
      <c r="T197" s="2">
        <v>51</v>
      </c>
      <c r="U197" s="2"/>
      <c r="V197" s="10">
        <v>0</v>
      </c>
      <c r="W197" s="10">
        <v>27124</v>
      </c>
      <c r="X197" s="10">
        <v>0</v>
      </c>
      <c r="Y197" s="10">
        <v>8</v>
      </c>
      <c r="Z197" s="2">
        <f t="shared" ref="Z197:AC197" si="206">_xlfn.RANK.EQ(V197,V$4:V$200)</f>
        <v>168</v>
      </c>
      <c r="AA197" s="2">
        <f t="shared" si="206"/>
        <v>151</v>
      </c>
      <c r="AB197" s="2">
        <f t="shared" si="206"/>
        <v>176</v>
      </c>
      <c r="AC197" s="2">
        <f t="shared" si="206"/>
        <v>182</v>
      </c>
      <c r="AD197" s="10">
        <f t="shared" si="2"/>
        <v>4</v>
      </c>
      <c r="AE197" s="2"/>
      <c r="AF197" s="10">
        <f t="shared" si="3"/>
        <v>8</v>
      </c>
      <c r="AG197" s="2">
        <v>230</v>
      </c>
      <c r="AH197" s="2"/>
      <c r="AI197" s="41">
        <f t="shared" si="92"/>
        <v>63</v>
      </c>
      <c r="AJ197" s="10">
        <f t="shared" si="188"/>
        <v>0</v>
      </c>
      <c r="AK197" s="10">
        <f t="shared" si="6"/>
        <v>0</v>
      </c>
    </row>
    <row r="198" spans="1:37">
      <c r="A198" s="3">
        <v>80023</v>
      </c>
      <c r="B198" s="2" t="s">
        <v>334</v>
      </c>
      <c r="C198" s="3"/>
      <c r="D198" s="3" t="s">
        <v>46</v>
      </c>
      <c r="E198" s="3" t="s">
        <v>330</v>
      </c>
      <c r="F198" s="3" t="s">
        <v>61</v>
      </c>
      <c r="G198" s="3" t="s">
        <v>230</v>
      </c>
      <c r="H198" s="3"/>
      <c r="I198" s="3" t="s">
        <v>54</v>
      </c>
      <c r="J198" s="3" t="s">
        <v>49</v>
      </c>
      <c r="K198" s="4"/>
      <c r="L198" s="3"/>
      <c r="M198" s="4"/>
      <c r="N198" s="2">
        <v>5</v>
      </c>
      <c r="O198" s="5" t="s">
        <v>55</v>
      </c>
      <c r="P198" s="6"/>
      <c r="Q198" s="26">
        <f t="shared" si="0"/>
        <v>0</v>
      </c>
      <c r="R198" s="27">
        <v>1.5</v>
      </c>
      <c r="S198" s="2"/>
      <c r="T198" s="2">
        <v>102</v>
      </c>
      <c r="U198" s="2"/>
      <c r="V198" s="10">
        <v>0</v>
      </c>
      <c r="W198" s="10">
        <v>18102</v>
      </c>
      <c r="X198" s="10">
        <v>0</v>
      </c>
      <c r="Y198" s="10">
        <v>12</v>
      </c>
      <c r="Z198" s="2">
        <f t="shared" ref="Z198:AC198" si="207">_xlfn.RANK.EQ(V198,V$4:V$200)</f>
        <v>168</v>
      </c>
      <c r="AA198" s="2">
        <f t="shared" si="207"/>
        <v>164</v>
      </c>
      <c r="AB198" s="2">
        <f t="shared" si="207"/>
        <v>176</v>
      </c>
      <c r="AC198" s="2">
        <f t="shared" si="207"/>
        <v>161</v>
      </c>
      <c r="AD198" s="10">
        <f t="shared" si="2"/>
        <v>6</v>
      </c>
      <c r="AE198" s="2"/>
      <c r="AF198" s="10">
        <f t="shared" si="3"/>
        <v>12</v>
      </c>
      <c r="AG198" s="2">
        <v>200</v>
      </c>
      <c r="AH198" s="2"/>
      <c r="AI198" s="41">
        <f t="shared" si="92"/>
        <v>120</v>
      </c>
      <c r="AJ198" s="10">
        <f t="shared" si="188"/>
        <v>0</v>
      </c>
      <c r="AK198" s="10">
        <f t="shared" si="6"/>
        <v>0</v>
      </c>
    </row>
    <row r="199" spans="1:37">
      <c r="A199" s="3">
        <v>80046</v>
      </c>
      <c r="B199" s="2" t="s">
        <v>335</v>
      </c>
      <c r="C199" s="3"/>
      <c r="D199" s="3" t="s">
        <v>46</v>
      </c>
      <c r="E199" s="3" t="s">
        <v>60</v>
      </c>
      <c r="F199" s="3" t="s">
        <v>61</v>
      </c>
      <c r="G199" s="3" t="s">
        <v>75</v>
      </c>
      <c r="H199" s="3"/>
      <c r="I199" s="3" t="s">
        <v>48</v>
      </c>
      <c r="J199" s="3" t="s">
        <v>49</v>
      </c>
      <c r="K199" s="4"/>
      <c r="L199" s="3"/>
      <c r="M199" s="4"/>
      <c r="N199" s="2">
        <v>5</v>
      </c>
      <c r="O199" s="5" t="s">
        <v>55</v>
      </c>
      <c r="P199" s="25">
        <v>20</v>
      </c>
      <c r="Q199" s="26">
        <f t="shared" si="0"/>
        <v>630</v>
      </c>
      <c r="R199" s="27">
        <v>1.5</v>
      </c>
      <c r="S199" s="2"/>
      <c r="T199" s="2">
        <v>51</v>
      </c>
      <c r="U199" s="2"/>
      <c r="V199" s="10">
        <v>0</v>
      </c>
      <c r="W199" s="10">
        <v>58127</v>
      </c>
      <c r="X199" s="10">
        <v>0</v>
      </c>
      <c r="Y199" s="10">
        <v>48</v>
      </c>
      <c r="Z199" s="2">
        <f t="shared" ref="Z199:AC199" si="208">_xlfn.RANK.EQ(V199,V$4:V$200)</f>
        <v>168</v>
      </c>
      <c r="AA199" s="2">
        <f t="shared" si="208"/>
        <v>93</v>
      </c>
      <c r="AB199" s="2">
        <f t="shared" si="208"/>
        <v>176</v>
      </c>
      <c r="AC199" s="2">
        <f t="shared" si="208"/>
        <v>76</v>
      </c>
      <c r="AD199" s="10">
        <f t="shared" si="2"/>
        <v>24</v>
      </c>
      <c r="AE199" s="2"/>
      <c r="AF199" s="10">
        <f t="shared" si="3"/>
        <v>48</v>
      </c>
      <c r="AG199" s="2">
        <v>188</v>
      </c>
      <c r="AH199" s="2"/>
      <c r="AI199" s="41">
        <f t="shared" si="92"/>
        <v>123</v>
      </c>
      <c r="AJ199" s="10">
        <f t="shared" si="188"/>
        <v>0</v>
      </c>
      <c r="AK199" s="10">
        <f t="shared" si="6"/>
        <v>0</v>
      </c>
    </row>
    <row r="200" spans="1:37">
      <c r="A200" s="24" t="s">
        <v>336</v>
      </c>
      <c r="B200" s="2" t="s">
        <v>337</v>
      </c>
      <c r="C200" s="3"/>
      <c r="D200" s="3" t="s">
        <v>46</v>
      </c>
      <c r="E200" s="3" t="s">
        <v>46</v>
      </c>
      <c r="F200" s="3"/>
      <c r="G200" s="3" t="s">
        <v>338</v>
      </c>
      <c r="H200" s="3"/>
      <c r="I200" s="3" t="s">
        <v>54</v>
      </c>
      <c r="J200" s="3" t="s">
        <v>49</v>
      </c>
      <c r="K200" s="4">
        <v>1000</v>
      </c>
      <c r="L200" s="3"/>
      <c r="M200" s="4"/>
      <c r="N200" s="2">
        <v>5</v>
      </c>
      <c r="O200" s="40" t="s">
        <v>50</v>
      </c>
      <c r="P200" s="6">
        <v>800</v>
      </c>
      <c r="Q200" s="26">
        <f t="shared" si="0"/>
        <v>800</v>
      </c>
      <c r="R200" s="27">
        <v>1.5</v>
      </c>
      <c r="S200" s="2"/>
      <c r="T200" s="2">
        <v>112</v>
      </c>
      <c r="U200" s="2"/>
      <c r="V200" s="10">
        <v>0</v>
      </c>
      <c r="W200" s="10">
        <v>40425</v>
      </c>
      <c r="X200" s="10">
        <v>0</v>
      </c>
      <c r="Y200" s="10">
        <v>27</v>
      </c>
      <c r="Z200" s="2">
        <f t="shared" ref="Z200:AC200" si="209">_xlfn.RANK.EQ(V200,V$4:V$200)</f>
        <v>168</v>
      </c>
      <c r="AA200" s="2">
        <f t="shared" si="209"/>
        <v>121</v>
      </c>
      <c r="AB200" s="2">
        <f t="shared" si="209"/>
        <v>176</v>
      </c>
      <c r="AC200" s="2">
        <f t="shared" si="209"/>
        <v>109</v>
      </c>
      <c r="AD200" s="10">
        <f t="shared" si="2"/>
        <v>13.5</v>
      </c>
      <c r="AE200" s="2">
        <v>450</v>
      </c>
      <c r="AF200" s="10">
        <f t="shared" si="3"/>
        <v>27</v>
      </c>
      <c r="AG200" s="2">
        <v>550</v>
      </c>
      <c r="AH200" s="2"/>
      <c r="AI200" s="41">
        <f t="shared" si="92"/>
        <v>152.5</v>
      </c>
      <c r="AJ200" s="10">
        <f t="shared" si="188"/>
        <v>0</v>
      </c>
      <c r="AK200" s="10">
        <f t="shared" si="6"/>
        <v>0</v>
      </c>
    </row>
  </sheetData>
  <customSheetViews>
    <customSheetView guid="{3DB84794-49D6-4591-9845-EA1A309199E5}" filter="1" showAutoFilter="1">
      <pageMargins left="0.7" right="0.7" top="0.75" bottom="0.75" header="0.3" footer="0.3"/>
      <autoFilter ref="A3:AK200" xr:uid="{45406DE2-D697-4EBC-BAB8-2A0B6D7F0A21}"/>
    </customSheetView>
    <customSheetView guid="{714E6E93-4116-47F0-BD54-4578503BFB55}" filter="1" showAutoFilter="1">
      <pageMargins left="0.7" right="0.7" top="0.75" bottom="0.75" header="0.3" footer="0.3"/>
      <autoFilter ref="A3:AK200" xr:uid="{2F9EBCA6-955E-48C2-A0D7-EE9D3025C866}">
        <filterColumn colId="3">
          <filters>
            <filter val="A"/>
          </filters>
        </filterColumn>
      </autoFilter>
    </customSheetView>
    <customSheetView guid="{5E0525A9-7AE6-4B00-BDC9-4648C2BCC1F8}" filter="1" showAutoFilter="1">
      <pageMargins left="0.7" right="0.7" top="0.75" bottom="0.75" header="0.3" footer="0.3"/>
      <autoFilter ref="A3:AK200" xr:uid="{A288798F-5C13-48EE-8764-0C528D42CCC3}"/>
    </customSheetView>
    <customSheetView guid="{EEC4170B-C5FE-4276-8AC2-A74F6334539C}" filter="1" showAutoFilter="1">
      <pageMargins left="0.7" right="0.7" top="0.75" bottom="0.75" header="0.3" footer="0.3"/>
      <autoFilter ref="A3:AK200" xr:uid="{1BBFD479-777A-4767-86F7-D18E30112A94}">
        <filterColumn colId="9">
          <filters>
            <filter val="寄售"/>
          </filters>
        </filterColumn>
      </autoFilter>
    </customSheetView>
    <customSheetView guid="{3316CB4D-30B4-4B30-8B85-16B9D80CAB67}" filter="1" showAutoFilter="1">
      <pageMargins left="0.7" right="0.7" top="0.75" bottom="0.75" header="0.3" footer="0.3"/>
      <autoFilter ref="A3:AK200" xr:uid="{FBA98FEB-0CF0-4F69-A640-31FD7BAF9AD8}"/>
    </customSheetView>
    <customSheetView guid="{588A9B9D-63D4-480D-9DB7-254FA2C3E016}" filter="1" showAutoFilter="1">
      <pageMargins left="0.7" right="0.7" top="0.75" bottom="0.75" header="0.3" footer="0.3"/>
      <autoFilter ref="A3:AK200" xr:uid="{62825558-5032-4C4D-BE19-692D21FF5687}">
        <filterColumn colId="11">
          <filters>
            <filter val="USD"/>
          </filters>
        </filterColumn>
      </autoFilter>
    </customSheetView>
  </customSheetViews>
  <mergeCells count="6">
    <mergeCell ref="AB2:AC2"/>
    <mergeCell ref="C1:D1"/>
    <mergeCell ref="T2:U2"/>
    <mergeCell ref="V2:W2"/>
    <mergeCell ref="X2:Y2"/>
    <mergeCell ref="Z2:AA2"/>
  </mergeCells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TTW</vt:lpstr>
      <vt:lpstr>TTW-僅採購項目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</cp:lastModifiedBy>
  <dcterms:modified xsi:type="dcterms:W3CDTF">2026-04-06T05:16:01Z</dcterms:modified>
</cp:coreProperties>
</file>